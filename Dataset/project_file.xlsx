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6.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amue\Downloads\"/>
    </mc:Choice>
  </mc:AlternateContent>
  <xr:revisionPtr revIDLastSave="0" documentId="13_ncr:1_{C9E2C477-FB18-44C8-9ED2-7A8A7E510A41}" xr6:coauthVersionLast="47" xr6:coauthVersionMax="47" xr10:uidLastSave="{00000000-0000-0000-0000-000000000000}"/>
  <bookViews>
    <workbookView xWindow="-120" yWindow="-120" windowWidth="29040" windowHeight="15720" firstSheet="7" activeTab="9" xr2:uid="{26D4546B-D2A1-4444-8EAF-A6228F96F0C1}"/>
  </bookViews>
  <sheets>
    <sheet name="Data" sheetId="1" r:id="rId1"/>
    <sheet name="India Staff" sheetId="2" r:id="rId2"/>
    <sheet name="All Staff" sheetId="5" r:id="rId3"/>
    <sheet name="Lookup Array" sheetId="11" r:id="rId4"/>
    <sheet name="Rating and Salary Relationship" sheetId="9" r:id="rId5"/>
    <sheet name="Information Finder v2" sheetId="6" r:id="rId6"/>
    <sheet name="Employee counts" sheetId="12" r:id="rId7"/>
    <sheet name="Male vs Female comparison" sheetId="7" r:id="rId8"/>
    <sheet name="India vs NZ" sheetId="13" r:id="rId9"/>
    <sheet name="IND vs NZ pivots" sheetId="14" r:id="rId10"/>
    <sheet name="Salary Spread" sheetId="8" r:id="rId11"/>
  </sheets>
  <definedNames>
    <definedName name="_xlnm._FilterDatabase" localSheetId="0" hidden="1">Data!$C$5:$I$105</definedName>
    <definedName name="_xlnm._FilterDatabase" localSheetId="1" hidden="1">'India Staff'!$B$2:$H$114</definedName>
    <definedName name="_xlchart.v1.0" hidden="1">'All Staff'!$H$1</definedName>
    <definedName name="_xlchart.v1.1" hidden="1">'All Staff'!$H$2:$H$184</definedName>
    <definedName name="_xlchart.v1.2" hidden="1">'All Staff'!$H$2:$H$184</definedName>
    <definedName name="_xlcn.WorksheetConnection_blankdatafile.xlsxstaff1" hidden="1">staff[]</definedName>
    <definedName name="ExternalData_1" localSheetId="2" hidden="1">'All Staff'!$B$1:$I$184</definedName>
    <definedName name="Slicer_Country">#N/A</definedName>
  </definedNames>
  <calcPr calcId="191029"/>
  <pivotCaches>
    <pivotCache cacheId="0" r:id="rId12"/>
    <pivotCache cacheId="1" r:id="rId13"/>
    <pivotCache cacheId="2" r:id="rId14"/>
    <pivotCache cacheId="3" r:id="rId15"/>
    <pivotCache cacheId="37" r:id="rId16"/>
    <pivotCache cacheId="40" r:id="rId17"/>
  </pivotCaches>
  <extLst>
    <ext xmlns:x14="http://schemas.microsoft.com/office/spreadsheetml/2009/9/main" uri="{876F7934-8845-4945-9796-88D515C7AA90}">
      <x14:pivotCaches>
        <pivotCache cacheId="4"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aff" name="staff" connection="WorksheetConnection_blank-data-file.xlsx!staff"/>
        </x15:modelTables>
        <x15:extLst>
          <ext xmlns:x16="http://schemas.microsoft.com/office/spreadsheetml/2014/11/main" uri="{9835A34E-60A6-4A7C-AAB8-D5F71C897F49}">
            <x16:modelTimeGroupings>
              <x16:modelTimeGrouping tableName="staff" columnName="Date Joined" columnId="Date Joined">
                <x16:calculatedTimeColumn columnName="Date Joined (Year)" columnId="Date Joined (Year)" contentType="years" isSelected="1"/>
                <x16:calculatedTimeColumn columnName="Date Joined (Quarter)" columnId="Date Joined (Quarter)" contentType="quarters" isSelected="1"/>
                <x16:calculatedTimeColumn columnName="Date Joined (Month Index)" columnId="Date Joined (Month Index)" contentType="monthsindex" isSelected="1"/>
                <x16:calculatedTimeColumn columnName="Date Joined (Month)" columnId="Date Joined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13" l="1"/>
  <c r="K3" i="13"/>
  <c r="M3" i="13" s="1"/>
  <c r="G3" i="13"/>
  <c r="C3" i="13"/>
  <c r="E3" i="13" s="1"/>
  <c r="T4" i="12"/>
  <c r="T5" i="12"/>
  <c r="T6" i="12"/>
  <c r="T7" i="12"/>
  <c r="T8" i="12"/>
  <c r="T9" i="12"/>
  <c r="T10" i="12"/>
  <c r="T11" i="12"/>
  <c r="T12" i="12"/>
  <c r="T13" i="12"/>
  <c r="T14" i="12"/>
  <c r="T15" i="12"/>
  <c r="T16" i="12"/>
  <c r="T17" i="12"/>
  <c r="T18" i="12"/>
  <c r="T19" i="12"/>
  <c r="T20" i="12"/>
  <c r="T21" i="12"/>
  <c r="T22" i="12"/>
  <c r="T23" i="12"/>
  <c r="T24" i="12"/>
  <c r="T25" i="12"/>
  <c r="T26" i="12"/>
  <c r="T27" i="12"/>
  <c r="T28" i="12"/>
  <c r="T29" i="12"/>
  <c r="T30" i="12"/>
  <c r="T31" i="12"/>
  <c r="T32" i="12"/>
  <c r="T33" i="12"/>
  <c r="T34" i="12"/>
  <c r="T35" i="12"/>
  <c r="T36" i="12"/>
  <c r="T37" i="12"/>
  <c r="T38" i="12"/>
  <c r="T3" i="12"/>
  <c r="S4" i="12"/>
  <c r="S5" i="12"/>
  <c r="S6" i="12"/>
  <c r="S7" i="12"/>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S36" i="12"/>
  <c r="S37" i="12"/>
  <c r="S38" i="12"/>
  <c r="S3" i="12"/>
  <c r="Q3" i="12" a="1"/>
  <c r="Q3" i="12" s="1"/>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L3" i="5" a="1"/>
  <c r="L3" i="5" s="1"/>
  <c r="L2" i="5" a="1"/>
  <c r="L2" i="5" s="1"/>
  <c r="L4" i="5" a="1"/>
  <c r="L4" i="5" s="1"/>
  <c r="L5" i="5" a="1"/>
  <c r="L5" i="5" s="1"/>
  <c r="L6" i="5" a="1"/>
  <c r="L6" i="5" s="1"/>
  <c r="L7" i="5" a="1"/>
  <c r="L7" i="5" s="1"/>
  <c r="L8" i="5" a="1"/>
  <c r="L8" i="5" s="1"/>
  <c r="L9" i="5" a="1"/>
  <c r="L9" i="5" s="1"/>
  <c r="L10" i="5" a="1"/>
  <c r="L10" i="5" s="1"/>
  <c r="L11" i="5" a="1"/>
  <c r="L11" i="5" s="1"/>
  <c r="L12" i="5" a="1"/>
  <c r="L12" i="5" s="1"/>
  <c r="L13" i="5" a="1"/>
  <c r="L13" i="5" s="1"/>
  <c r="L14" i="5" a="1"/>
  <c r="L14" i="5" s="1"/>
  <c r="L15" i="5" a="1"/>
  <c r="L15" i="5" s="1"/>
  <c r="L16" i="5" a="1"/>
  <c r="L16" i="5" s="1"/>
  <c r="L17" i="5" a="1"/>
  <c r="L17" i="5" s="1"/>
  <c r="L18" i="5" a="1"/>
  <c r="L18" i="5" s="1"/>
  <c r="L19" i="5" a="1"/>
  <c r="L19" i="5" s="1"/>
  <c r="L20" i="5" a="1"/>
  <c r="L20" i="5" s="1"/>
  <c r="L21" i="5" a="1"/>
  <c r="L21" i="5" s="1"/>
  <c r="L22" i="5" a="1"/>
  <c r="L22" i="5" s="1"/>
  <c r="L23" i="5" a="1"/>
  <c r="L23" i="5" s="1"/>
  <c r="L24" i="5" a="1"/>
  <c r="L24" i="5" s="1"/>
  <c r="L25" i="5" a="1"/>
  <c r="L25" i="5" s="1"/>
  <c r="L26" i="5" a="1"/>
  <c r="L26" i="5" s="1"/>
  <c r="L27" i="5" a="1"/>
  <c r="L27" i="5" s="1"/>
  <c r="L28" i="5" a="1"/>
  <c r="L28" i="5" s="1"/>
  <c r="L29" i="5" a="1"/>
  <c r="L29" i="5" s="1"/>
  <c r="L30" i="5" a="1"/>
  <c r="L30" i="5" s="1"/>
  <c r="L31" i="5" a="1"/>
  <c r="L31" i="5" s="1"/>
  <c r="L32" i="5" a="1"/>
  <c r="L32" i="5" s="1"/>
  <c r="L33" i="5" a="1"/>
  <c r="L33" i="5" s="1"/>
  <c r="L34" i="5" a="1"/>
  <c r="L34" i="5" s="1"/>
  <c r="L35" i="5" a="1"/>
  <c r="L35" i="5" s="1"/>
  <c r="L36" i="5" a="1"/>
  <c r="L36" i="5" s="1"/>
  <c r="L37" i="5" a="1"/>
  <c r="L37" i="5" s="1"/>
  <c r="L38" i="5" a="1"/>
  <c r="L38" i="5" s="1"/>
  <c r="L39" i="5" a="1"/>
  <c r="L39" i="5" s="1"/>
  <c r="L40" i="5" a="1"/>
  <c r="L40" i="5" s="1"/>
  <c r="L41" i="5" a="1"/>
  <c r="L41" i="5" s="1"/>
  <c r="L42" i="5" a="1"/>
  <c r="L42" i="5" s="1"/>
  <c r="L43" i="5" a="1"/>
  <c r="L43" i="5" s="1"/>
  <c r="L44" i="5" a="1"/>
  <c r="L44" i="5" s="1"/>
  <c r="L45" i="5" a="1"/>
  <c r="L45" i="5" s="1"/>
  <c r="L46" i="5" a="1"/>
  <c r="L46" i="5" s="1"/>
  <c r="L47" i="5" a="1"/>
  <c r="L47" i="5" s="1"/>
  <c r="L48" i="5" a="1"/>
  <c r="L48" i="5" s="1"/>
  <c r="L49" i="5" a="1"/>
  <c r="L49" i="5" s="1"/>
  <c r="L50" i="5" a="1"/>
  <c r="L50" i="5" s="1"/>
  <c r="L51" i="5" a="1"/>
  <c r="L51" i="5" s="1"/>
  <c r="L52" i="5" a="1"/>
  <c r="L52" i="5" s="1"/>
  <c r="L53" i="5" a="1"/>
  <c r="L53" i="5" s="1"/>
  <c r="L54" i="5" a="1"/>
  <c r="L54" i="5" s="1"/>
  <c r="L55" i="5" a="1"/>
  <c r="L55" i="5" s="1"/>
  <c r="L56" i="5" a="1"/>
  <c r="L56" i="5" s="1"/>
  <c r="L57" i="5" a="1"/>
  <c r="L57" i="5" s="1"/>
  <c r="L58" i="5" a="1"/>
  <c r="L58" i="5" s="1"/>
  <c r="L59" i="5" a="1"/>
  <c r="L59" i="5" s="1"/>
  <c r="L60" i="5" a="1"/>
  <c r="L60" i="5" s="1"/>
  <c r="L61" i="5" a="1"/>
  <c r="L61" i="5" s="1"/>
  <c r="L62" i="5" a="1"/>
  <c r="L62" i="5" s="1"/>
  <c r="L63" i="5" a="1"/>
  <c r="L63" i="5" s="1"/>
  <c r="L64" i="5" a="1"/>
  <c r="L64" i="5" s="1"/>
  <c r="L65" i="5" a="1"/>
  <c r="L65" i="5" s="1"/>
  <c r="L66" i="5" a="1"/>
  <c r="L66" i="5" s="1"/>
  <c r="L67" i="5" a="1"/>
  <c r="L67" i="5" s="1"/>
  <c r="L68" i="5" a="1"/>
  <c r="L68" i="5" s="1"/>
  <c r="L69" i="5" a="1"/>
  <c r="L69" i="5" s="1"/>
  <c r="L70" i="5" a="1"/>
  <c r="L70" i="5" s="1"/>
  <c r="L71" i="5" a="1"/>
  <c r="L71" i="5" s="1"/>
  <c r="L72" i="5" a="1"/>
  <c r="L72" i="5" s="1"/>
  <c r="L73" i="5" a="1"/>
  <c r="L73" i="5" s="1"/>
  <c r="L74" i="5" a="1"/>
  <c r="L74" i="5" s="1"/>
  <c r="L75" i="5" a="1"/>
  <c r="L75" i="5" s="1"/>
  <c r="L76" i="5" a="1"/>
  <c r="L76" i="5" s="1"/>
  <c r="L77" i="5" a="1"/>
  <c r="L77" i="5" s="1"/>
  <c r="L78" i="5" a="1"/>
  <c r="L78" i="5" s="1"/>
  <c r="L79" i="5" a="1"/>
  <c r="L79" i="5" s="1"/>
  <c r="L80" i="5" a="1"/>
  <c r="L80" i="5" s="1"/>
  <c r="L81" i="5" a="1"/>
  <c r="L81" i="5" s="1"/>
  <c r="L82" i="5" a="1"/>
  <c r="L82" i="5" s="1"/>
  <c r="L83" i="5" a="1"/>
  <c r="L83" i="5" s="1"/>
  <c r="L84" i="5" a="1"/>
  <c r="L84" i="5" s="1"/>
  <c r="L85" i="5" a="1"/>
  <c r="L85" i="5" s="1"/>
  <c r="L86" i="5" a="1"/>
  <c r="L86" i="5" s="1"/>
  <c r="L87" i="5" a="1"/>
  <c r="L87" i="5" s="1"/>
  <c r="L88" i="5" a="1"/>
  <c r="L88" i="5" s="1"/>
  <c r="L89" i="5" a="1"/>
  <c r="L89" i="5" s="1"/>
  <c r="L90" i="5" a="1"/>
  <c r="L90" i="5" s="1"/>
  <c r="L91" i="5" a="1"/>
  <c r="L91" i="5" s="1"/>
  <c r="L92" i="5" a="1"/>
  <c r="L92" i="5" s="1"/>
  <c r="L93" i="5" a="1"/>
  <c r="L93" i="5" s="1"/>
  <c r="L94" i="5" a="1"/>
  <c r="L94" i="5" s="1"/>
  <c r="L95" i="5" a="1"/>
  <c r="L95" i="5" s="1"/>
  <c r="L96" i="5" a="1"/>
  <c r="L96" i="5" s="1"/>
  <c r="L97" i="5" a="1"/>
  <c r="L97" i="5" s="1"/>
  <c r="L98" i="5" a="1"/>
  <c r="L98" i="5" s="1"/>
  <c r="L99" i="5" a="1"/>
  <c r="L99" i="5" s="1"/>
  <c r="L100" i="5" a="1"/>
  <c r="L100" i="5" s="1"/>
  <c r="L101" i="5" a="1"/>
  <c r="L101" i="5" s="1"/>
  <c r="L102" i="5" a="1"/>
  <c r="L102" i="5" s="1"/>
  <c r="L103" i="5" a="1"/>
  <c r="L103" i="5" s="1"/>
  <c r="L104" i="5" a="1"/>
  <c r="L104" i="5" s="1"/>
  <c r="L105" i="5" a="1"/>
  <c r="L105" i="5" s="1"/>
  <c r="L106" i="5" a="1"/>
  <c r="L106" i="5" s="1"/>
  <c r="L107" i="5" a="1"/>
  <c r="L107" i="5" s="1"/>
  <c r="L108" i="5" a="1"/>
  <c r="L108" i="5" s="1"/>
  <c r="L109" i="5" a="1"/>
  <c r="L109" i="5" s="1"/>
  <c r="L110" i="5" a="1"/>
  <c r="L110" i="5" s="1"/>
  <c r="L111" i="5" a="1"/>
  <c r="L111" i="5" s="1"/>
  <c r="L112" i="5" a="1"/>
  <c r="L112" i="5" s="1"/>
  <c r="L113" i="5" a="1"/>
  <c r="L113" i="5" s="1"/>
  <c r="L114" i="5" a="1"/>
  <c r="L114" i="5" s="1"/>
  <c r="L115" i="5" a="1"/>
  <c r="L115" i="5" s="1"/>
  <c r="L116" i="5" a="1"/>
  <c r="L116" i="5" s="1"/>
  <c r="L117" i="5" a="1"/>
  <c r="L117" i="5" s="1"/>
  <c r="L118" i="5" a="1"/>
  <c r="L118" i="5" s="1"/>
  <c r="L119" i="5" a="1"/>
  <c r="L119" i="5" s="1"/>
  <c r="L120" i="5" a="1"/>
  <c r="L120" i="5" s="1"/>
  <c r="L121" i="5" a="1"/>
  <c r="L121" i="5" s="1"/>
  <c r="L122" i="5" a="1"/>
  <c r="L122" i="5" s="1"/>
  <c r="L123" i="5" a="1"/>
  <c r="L123" i="5" s="1"/>
  <c r="L124" i="5" a="1"/>
  <c r="L124" i="5" s="1"/>
  <c r="L125" i="5" a="1"/>
  <c r="L125" i="5" s="1"/>
  <c r="L126" i="5" a="1"/>
  <c r="L126" i="5" s="1"/>
  <c r="L127" i="5" a="1"/>
  <c r="L127" i="5" s="1"/>
  <c r="L128" i="5" a="1"/>
  <c r="L128" i="5" s="1"/>
  <c r="L129" i="5" a="1"/>
  <c r="L129" i="5" s="1"/>
  <c r="L130" i="5" a="1"/>
  <c r="L130" i="5" s="1"/>
  <c r="L131" i="5" a="1"/>
  <c r="L131" i="5" s="1"/>
  <c r="L132" i="5" a="1"/>
  <c r="L132" i="5" s="1"/>
  <c r="L133" i="5" a="1"/>
  <c r="L133" i="5" s="1"/>
  <c r="L134" i="5" a="1"/>
  <c r="L134" i="5" s="1"/>
  <c r="L135" i="5" a="1"/>
  <c r="L135" i="5" s="1"/>
  <c r="L136" i="5" a="1"/>
  <c r="L136" i="5" s="1"/>
  <c r="L137" i="5" a="1"/>
  <c r="L137" i="5" s="1"/>
  <c r="L138" i="5" a="1"/>
  <c r="L138" i="5" s="1"/>
  <c r="L139" i="5" a="1"/>
  <c r="L139" i="5" s="1"/>
  <c r="L140" i="5" a="1"/>
  <c r="L140" i="5" s="1"/>
  <c r="L141" i="5" a="1"/>
  <c r="L141" i="5" s="1"/>
  <c r="L142" i="5" a="1"/>
  <c r="L142" i="5" s="1"/>
  <c r="L143" i="5" a="1"/>
  <c r="L143" i="5" s="1"/>
  <c r="L144" i="5" a="1"/>
  <c r="L144" i="5" s="1"/>
  <c r="L145" i="5" a="1"/>
  <c r="L145" i="5" s="1"/>
  <c r="L146" i="5" a="1"/>
  <c r="L146" i="5" s="1"/>
  <c r="L147" i="5" a="1"/>
  <c r="L147" i="5" s="1"/>
  <c r="L148" i="5" a="1"/>
  <c r="L148" i="5" s="1"/>
  <c r="L149" i="5" a="1"/>
  <c r="L149" i="5" s="1"/>
  <c r="L150" i="5" a="1"/>
  <c r="L150" i="5" s="1"/>
  <c r="L151" i="5" a="1"/>
  <c r="L151" i="5" s="1"/>
  <c r="L152" i="5" a="1"/>
  <c r="L152" i="5" s="1"/>
  <c r="L153" i="5" a="1"/>
  <c r="L153" i="5" s="1"/>
  <c r="L154" i="5" a="1"/>
  <c r="L154" i="5" s="1"/>
  <c r="L155" i="5" a="1"/>
  <c r="L155" i="5" s="1"/>
  <c r="L156" i="5" a="1"/>
  <c r="L156" i="5" s="1"/>
  <c r="L157" i="5" a="1"/>
  <c r="L157" i="5" s="1"/>
  <c r="L158" i="5" a="1"/>
  <c r="L158" i="5" s="1"/>
  <c r="L159" i="5" a="1"/>
  <c r="L159" i="5" s="1"/>
  <c r="L160" i="5" a="1"/>
  <c r="L160" i="5" s="1"/>
  <c r="L161" i="5" a="1"/>
  <c r="L161" i="5" s="1"/>
  <c r="L162" i="5" a="1"/>
  <c r="L162" i="5" s="1"/>
  <c r="L163" i="5" a="1"/>
  <c r="L163" i="5" s="1"/>
  <c r="L164" i="5" a="1"/>
  <c r="L164" i="5" s="1"/>
  <c r="L165" i="5" a="1"/>
  <c r="L165" i="5" s="1"/>
  <c r="L166" i="5" a="1"/>
  <c r="L166" i="5" s="1"/>
  <c r="L167" i="5" a="1"/>
  <c r="L167" i="5" s="1"/>
  <c r="L168" i="5" a="1"/>
  <c r="L168" i="5" s="1"/>
  <c r="L169" i="5" a="1"/>
  <c r="L169" i="5" s="1"/>
  <c r="L170" i="5" a="1"/>
  <c r="L170" i="5" s="1"/>
  <c r="L171" i="5" a="1"/>
  <c r="L171" i="5" s="1"/>
  <c r="L172" i="5" a="1"/>
  <c r="L172" i="5" s="1"/>
  <c r="L173" i="5" a="1"/>
  <c r="L173" i="5" s="1"/>
  <c r="L174" i="5" a="1"/>
  <c r="L174" i="5" s="1"/>
  <c r="L175" i="5" a="1"/>
  <c r="L175" i="5" s="1"/>
  <c r="L176" i="5" a="1"/>
  <c r="L176" i="5" s="1"/>
  <c r="L177" i="5" a="1"/>
  <c r="L177" i="5" s="1"/>
  <c r="L178" i="5" a="1"/>
  <c r="L178" i="5" s="1"/>
  <c r="L179" i="5" a="1"/>
  <c r="L179" i="5" s="1"/>
  <c r="L180" i="5" a="1"/>
  <c r="L180" i="5" s="1"/>
  <c r="L181" i="5" a="1"/>
  <c r="L181" i="5" s="1"/>
  <c r="L182" i="5" a="1"/>
  <c r="L182" i="5" s="1"/>
  <c r="L183" i="5" a="1"/>
  <c r="L183" i="5" s="1"/>
  <c r="L184" i="5" a="1"/>
  <c r="L184" i="5" s="1"/>
  <c r="C8" i="6"/>
  <c r="J165" i="5"/>
  <c r="K165" i="5" s="1"/>
  <c r="J86" i="5"/>
  <c r="K86" i="5" s="1"/>
  <c r="J36" i="5"/>
  <c r="K36" i="5" s="1"/>
  <c r="J175" i="5"/>
  <c r="K175" i="5" s="1"/>
  <c r="J38" i="5"/>
  <c r="K38" i="5" s="1"/>
  <c r="J160" i="5"/>
  <c r="K160" i="5" s="1"/>
  <c r="J26" i="5"/>
  <c r="K26" i="5" s="1"/>
  <c r="J62" i="5"/>
  <c r="K62" i="5" s="1"/>
  <c r="J42" i="5"/>
  <c r="K42" i="5" s="1"/>
  <c r="J183" i="5"/>
  <c r="K183" i="5" s="1"/>
  <c r="J158" i="5"/>
  <c r="K158" i="5" s="1"/>
  <c r="J68" i="5"/>
  <c r="K68" i="5" s="1"/>
  <c r="J78" i="5"/>
  <c r="K78" i="5" s="1"/>
  <c r="J152" i="5"/>
  <c r="K152" i="5" s="1"/>
  <c r="J18" i="5"/>
  <c r="K18" i="5" s="1"/>
  <c r="J136" i="5"/>
  <c r="K136" i="5" s="1"/>
  <c r="J8" i="5"/>
  <c r="K8" i="5" s="1"/>
  <c r="J48" i="5"/>
  <c r="K48" i="5" s="1"/>
  <c r="J14" i="5"/>
  <c r="K14" i="5" s="1"/>
  <c r="J98" i="5"/>
  <c r="K98" i="5" s="1"/>
  <c r="J52" i="5"/>
  <c r="K52" i="5" s="1"/>
  <c r="J72" i="5"/>
  <c r="K72" i="5" s="1"/>
  <c r="J50" i="5"/>
  <c r="K50" i="5" s="1"/>
  <c r="J30" i="5"/>
  <c r="K30" i="5" s="1"/>
  <c r="J64" i="5"/>
  <c r="K64" i="5" s="1"/>
  <c r="J92" i="5"/>
  <c r="Q21" i="5" s="1" a="1"/>
  <c r="Q21" i="5" s="1"/>
  <c r="J118" i="5"/>
  <c r="K118" i="5" s="1"/>
  <c r="J4" i="5"/>
  <c r="K4" i="5" s="1"/>
  <c r="J100" i="5"/>
  <c r="K100" i="5" s="1"/>
  <c r="J58" i="5"/>
  <c r="K58" i="5" s="1"/>
  <c r="J96" i="5"/>
  <c r="K96" i="5" s="1"/>
  <c r="J177" i="5"/>
  <c r="K177" i="5" s="1"/>
  <c r="J106" i="5"/>
  <c r="K106" i="5" s="1"/>
  <c r="J156" i="5"/>
  <c r="K156" i="5" s="1"/>
  <c r="J32" i="5"/>
  <c r="K32" i="5" s="1"/>
  <c r="J138" i="5"/>
  <c r="K138" i="5" s="1"/>
  <c r="J132" i="5"/>
  <c r="K132" i="5" s="1"/>
  <c r="J142" i="5"/>
  <c r="K142" i="5" s="1"/>
  <c r="J28" i="5"/>
  <c r="K28" i="5" s="1"/>
  <c r="J34" i="5"/>
  <c r="K34" i="5" s="1"/>
  <c r="J104" i="5"/>
  <c r="K104" i="5" s="1"/>
  <c r="J116" i="5"/>
  <c r="K116" i="5" s="1"/>
  <c r="J112" i="5"/>
  <c r="K112" i="5" s="1"/>
  <c r="J128" i="5"/>
  <c r="K128" i="5" s="1"/>
  <c r="J162" i="5"/>
  <c r="K162" i="5" s="1"/>
  <c r="J108" i="5"/>
  <c r="K108" i="5" s="1"/>
  <c r="J76" i="5"/>
  <c r="K76" i="5" s="1"/>
  <c r="J110" i="5"/>
  <c r="K110" i="5" s="1"/>
  <c r="J54" i="5"/>
  <c r="K54" i="5" s="1"/>
  <c r="J181" i="5"/>
  <c r="K181" i="5" s="1"/>
  <c r="J24" i="5"/>
  <c r="K24" i="5" s="1"/>
  <c r="J20" i="5"/>
  <c r="K20" i="5" s="1"/>
  <c r="J173" i="5"/>
  <c r="K173" i="5" s="1"/>
  <c r="J82" i="5"/>
  <c r="K82" i="5" s="1"/>
  <c r="J88" i="5"/>
  <c r="K88" i="5" s="1"/>
  <c r="J154" i="5"/>
  <c r="K154" i="5" s="1"/>
  <c r="J167" i="5"/>
  <c r="K167" i="5" s="1"/>
  <c r="J80" i="5"/>
  <c r="K80" i="5" s="1"/>
  <c r="J179" i="5"/>
  <c r="K179" i="5" s="1"/>
  <c r="J102" i="5"/>
  <c r="K102" i="5" s="1"/>
  <c r="J171" i="5"/>
  <c r="K171" i="5" s="1"/>
  <c r="J124" i="5"/>
  <c r="K124" i="5" s="1"/>
  <c r="J148" i="5"/>
  <c r="K148" i="5" s="1"/>
  <c r="J44" i="5"/>
  <c r="K44" i="5" s="1"/>
  <c r="J122" i="5"/>
  <c r="K122" i="5" s="1"/>
  <c r="J46" i="5"/>
  <c r="K46" i="5" s="1"/>
  <c r="J130" i="5"/>
  <c r="K130" i="5" s="1"/>
  <c r="J70" i="5"/>
  <c r="K70" i="5" s="1"/>
  <c r="J22" i="5"/>
  <c r="K22" i="5" s="1"/>
  <c r="J60" i="5"/>
  <c r="K60" i="5" s="1"/>
  <c r="J144" i="5"/>
  <c r="K144" i="5" s="1"/>
  <c r="J120" i="5"/>
  <c r="K120" i="5" s="1"/>
  <c r="J140" i="5"/>
  <c r="K140" i="5" s="1"/>
  <c r="J169" i="5"/>
  <c r="K169" i="5" s="1"/>
  <c r="J2" i="5"/>
  <c r="K2" i="5" s="1"/>
  <c r="J150" i="5"/>
  <c r="K150" i="5" s="1"/>
  <c r="J10" i="5"/>
  <c r="K10" i="5" s="1"/>
  <c r="J126" i="5"/>
  <c r="K126" i="5" s="1"/>
  <c r="J6" i="5"/>
  <c r="K6" i="5" s="1"/>
  <c r="J146" i="5"/>
  <c r="K146" i="5" s="1"/>
  <c r="J134" i="5"/>
  <c r="K134" i="5" s="1"/>
  <c r="J114" i="5"/>
  <c r="K114" i="5" s="1"/>
  <c r="J16" i="5"/>
  <c r="K16" i="5" s="1"/>
  <c r="J56" i="5"/>
  <c r="K56" i="5" s="1"/>
  <c r="J66" i="5"/>
  <c r="K66" i="5" s="1"/>
  <c r="J12" i="5"/>
  <c r="K12" i="5" s="1"/>
  <c r="J94" i="5"/>
  <c r="K94" i="5" s="1"/>
  <c r="J90" i="5"/>
  <c r="K90" i="5" s="1"/>
  <c r="J74" i="5"/>
  <c r="K74" i="5" s="1"/>
  <c r="J84" i="5"/>
  <c r="K84" i="5" s="1"/>
  <c r="J39" i="5"/>
  <c r="K39" i="5" s="1"/>
  <c r="J163" i="5"/>
  <c r="K163" i="5" s="1"/>
  <c r="J19" i="5"/>
  <c r="K19" i="5" s="1"/>
  <c r="J143" i="5"/>
  <c r="K143" i="5" s="1"/>
  <c r="J21" i="5"/>
  <c r="K21" i="5" s="1"/>
  <c r="J176" i="5"/>
  <c r="K176" i="5" s="1"/>
  <c r="J47" i="5"/>
  <c r="K47" i="5" s="1"/>
  <c r="J131" i="5"/>
  <c r="K131" i="5" s="1"/>
  <c r="J125" i="5"/>
  <c r="K125" i="5" s="1"/>
  <c r="J91" i="5"/>
  <c r="K91" i="5" s="1"/>
  <c r="J157" i="5"/>
  <c r="K157" i="5" s="1"/>
  <c r="J147" i="5"/>
  <c r="K147" i="5" s="1"/>
  <c r="J135" i="5"/>
  <c r="K135" i="5" s="1"/>
  <c r="J25" i="5"/>
  <c r="K25" i="5" s="1"/>
  <c r="J9" i="5"/>
  <c r="K9" i="5" s="1"/>
  <c r="J164" i="5"/>
  <c r="K164" i="5" s="1"/>
  <c r="J33" i="5"/>
  <c r="K33" i="5" s="1"/>
  <c r="J182" i="5"/>
  <c r="K182" i="5" s="1"/>
  <c r="J83" i="5"/>
  <c r="K83" i="5" s="1"/>
  <c r="J109" i="5"/>
  <c r="K109" i="5" s="1"/>
  <c r="J103" i="5"/>
  <c r="K103" i="5" s="1"/>
  <c r="J45" i="5"/>
  <c r="K45" i="5" s="1"/>
  <c r="J121" i="5"/>
  <c r="K121" i="5" s="1"/>
  <c r="J7" i="5"/>
  <c r="K7" i="5" s="1"/>
  <c r="J93" i="5"/>
  <c r="K93" i="5" s="1"/>
  <c r="J11" i="5"/>
  <c r="K11" i="5" s="1"/>
  <c r="J141" i="5"/>
  <c r="K141" i="5" s="1"/>
  <c r="J51" i="5"/>
  <c r="K51" i="5" s="1"/>
  <c r="J172" i="5"/>
  <c r="K172" i="5" s="1"/>
  <c r="J13" i="5"/>
  <c r="K13" i="5" s="1"/>
  <c r="J161" i="5"/>
  <c r="K161" i="5" s="1"/>
  <c r="J23" i="5"/>
  <c r="K23" i="5" s="1"/>
  <c r="J71" i="5"/>
  <c r="K71" i="5" s="1"/>
  <c r="J139" i="5"/>
  <c r="K139" i="5" s="1"/>
  <c r="J111" i="5"/>
  <c r="K111" i="5" s="1"/>
  <c r="J35" i="5"/>
  <c r="K35" i="5" s="1"/>
  <c r="J159" i="5"/>
  <c r="K159" i="5" s="1"/>
  <c r="J184" i="5"/>
  <c r="K184" i="5" s="1"/>
  <c r="J166" i="5"/>
  <c r="K166" i="5" s="1"/>
  <c r="J174" i="5"/>
  <c r="K174" i="5" s="1"/>
  <c r="J31" i="5"/>
  <c r="K31" i="5" s="1"/>
  <c r="J99" i="5"/>
  <c r="K99" i="5" s="1"/>
  <c r="J37" i="5"/>
  <c r="K37" i="5" s="1"/>
  <c r="J115" i="5"/>
  <c r="K115" i="5" s="1"/>
  <c r="J3" i="5"/>
  <c r="K3" i="5" s="1"/>
  <c r="J95" i="5"/>
  <c r="K95" i="5" s="1"/>
  <c r="J53" i="5"/>
  <c r="K53" i="5" s="1"/>
  <c r="J149" i="5"/>
  <c r="K149" i="5" s="1"/>
  <c r="J49" i="5"/>
  <c r="K49" i="5" s="1"/>
  <c r="J127" i="5"/>
  <c r="K127" i="5" s="1"/>
  <c r="J85" i="5"/>
  <c r="K85" i="5" s="1"/>
  <c r="J101" i="5"/>
  <c r="K101" i="5" s="1"/>
  <c r="J123" i="5"/>
  <c r="K123" i="5" s="1"/>
  <c r="J61" i="5"/>
  <c r="K61" i="5" s="1"/>
  <c r="J178" i="5"/>
  <c r="K178" i="5" s="1"/>
  <c r="J67" i="5"/>
  <c r="K67" i="5" s="1"/>
  <c r="J65" i="5"/>
  <c r="K65" i="5" s="1"/>
  <c r="J129" i="5"/>
  <c r="K129" i="5" s="1"/>
  <c r="J29" i="5"/>
  <c r="K29" i="5" s="1"/>
  <c r="J113" i="5"/>
  <c r="K113" i="5" s="1"/>
  <c r="J119" i="5"/>
  <c r="K119" i="5" s="1"/>
  <c r="J77" i="5"/>
  <c r="K77" i="5" s="1"/>
  <c r="J40" i="5"/>
  <c r="K40" i="5" s="1"/>
  <c r="J17" i="5"/>
  <c r="K17" i="5" s="1"/>
  <c r="J155" i="5"/>
  <c r="K155" i="5" s="1"/>
  <c r="J137" i="5"/>
  <c r="K137" i="5" s="1"/>
  <c r="J15" i="5"/>
  <c r="K15" i="5" s="1"/>
  <c r="J89" i="5"/>
  <c r="K89" i="5" s="1"/>
  <c r="J168" i="5"/>
  <c r="K168" i="5" s="1"/>
  <c r="J117" i="5"/>
  <c r="K117" i="5" s="1"/>
  <c r="J41" i="5"/>
  <c r="K41" i="5" s="1"/>
  <c r="J79" i="5"/>
  <c r="K79" i="5" s="1"/>
  <c r="J73" i="5"/>
  <c r="K73" i="5" s="1"/>
  <c r="J81" i="5"/>
  <c r="K81" i="5" s="1"/>
  <c r="J59" i="5"/>
  <c r="K59" i="5" s="1"/>
  <c r="J151" i="5"/>
  <c r="K151" i="5" s="1"/>
  <c r="J180" i="5"/>
  <c r="K180" i="5" s="1"/>
  <c r="J105" i="5"/>
  <c r="K105" i="5" s="1"/>
  <c r="J170" i="5"/>
  <c r="K170" i="5" s="1"/>
  <c r="J145" i="5"/>
  <c r="K145" i="5" s="1"/>
  <c r="J75" i="5"/>
  <c r="K75" i="5" s="1"/>
  <c r="J5" i="5"/>
  <c r="K5" i="5" s="1"/>
  <c r="J63" i="5"/>
  <c r="K63" i="5" s="1"/>
  <c r="J153" i="5"/>
  <c r="K153" i="5" s="1"/>
  <c r="J69" i="5"/>
  <c r="K69" i="5" s="1"/>
  <c r="J97" i="5"/>
  <c r="K97" i="5" s="1"/>
  <c r="J43" i="5"/>
  <c r="K43" i="5" s="1"/>
  <c r="J107" i="5"/>
  <c r="K107" i="5" s="1"/>
  <c r="J55" i="5"/>
  <c r="K55" i="5" s="1"/>
  <c r="J87" i="5"/>
  <c r="K87" i="5" s="1"/>
  <c r="J57" i="5"/>
  <c r="K57" i="5" s="1"/>
  <c r="J27" i="5"/>
  <c r="K27" i="5" s="1"/>
  <c r="J133" i="5"/>
  <c r="K133" i="5" s="1"/>
  <c r="P10" i="5"/>
  <c r="P7" i="5"/>
  <c r="Q4" i="5"/>
  <c r="Q3" i="5"/>
  <c r="P4" i="5"/>
  <c r="P3" i="5"/>
  <c r="P2" i="5"/>
  <c r="R3" i="12" l="1" a="1"/>
  <c r="R3" i="12" s="1"/>
  <c r="K92" i="5"/>
  <c r="O18" i="5" a="1"/>
  <c r="P8" i="5"/>
  <c r="P11" i="5"/>
  <c r="P5" i="5"/>
  <c r="O18" i="5" l="1"/>
  <c r="B15" i="6" a="1"/>
  <c r="B15"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BC7875-CE29-4116-805C-0541908C9026}" keepAlive="1" name="Query - india staff" description="Connection to the 'india staff' query in the workbook." type="5" refreshedVersion="0" background="1">
    <dbPr connection="Provider=Microsoft.Mashup.OleDb.1;Data Source=$Workbook$;Location=&quot;india staff&quot;;Extended Properties=&quot;&quot;" command="SELECT * FROM [india staff]"/>
  </connection>
  <connection id="2" xr16:uid="{67738778-C3A1-494B-9084-E63B7052FC18}" keepAlive="1" name="Query - nz_staff" description="Connection to the 'nz_staff' query in the workbook." type="5" refreshedVersion="0" background="1">
    <dbPr connection="Provider=Microsoft.Mashup.OleDb.1;Data Source=$Workbook$;Location=nz_staff;Extended Properties=&quot;&quot;" command="SELECT * FROM [nz_staff]"/>
  </connection>
  <connection id="3" xr16:uid="{88C93EB5-6A76-417E-B8AB-A348FE857C86}" keepAlive="1" name="Query - staff" description="Connection to the 'staff' query in the workbook." type="5" refreshedVersion="8" background="1" saveData="1">
    <dbPr connection="Provider=Microsoft.Mashup.OleDb.1;Data Source=$Workbook$;Location=staff;Extended Properties=&quot;&quot;" command="SELECT * FROM [staff]"/>
  </connection>
  <connection id="4" xr16:uid="{6D8432A0-B572-4274-8510-62A5E393C82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BE261B89-9F54-4107-80BB-A0ABB0F216C0}" name="WorksheetConnection_blank-data-file.xlsx!staff" type="102" refreshedVersion="8" minRefreshableVersion="5">
    <extLst>
      <ext xmlns:x15="http://schemas.microsoft.com/office/spreadsheetml/2010/11/main" uri="{DE250136-89BD-433C-8126-D09CA5730AF9}">
        <x15:connection id="staff" autoDelete="1">
          <x15:rangePr sourceName="_xlcn.WorksheetConnection_blankdatafile.xlsxstaff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3">
    <s v="ThisWorkbookDataModel"/>
    <s v="{[staff].[Country].&amp;[IND]}"/>
    <s v="{[staff].[Country].&amp;[NZ]}"/>
  </metadataStrings>
  <mdxMetadata count="2">
    <mdx n="0" f="s">
      <ms ns="1" c="0"/>
    </mdx>
    <mdx n="0" f="s">
      <ms ns="2" c="0"/>
    </mdx>
  </mdxMetadata>
  <futureMetadata name="XLDAPR" count="1">
    <bk>
      <extLst>
        <ext uri="{bdbb8cdc-fa1e-496e-a857-3c3f30c029c3}">
          <xda:dynamicArrayProperties fDynamic="1" fCollapsed="0"/>
        </ext>
      </extLst>
    </bk>
  </futureMetadata>
  <cellMetadata count="1">
    <bk>
      <rc t="1" v="0"/>
    </bk>
  </cellMetadata>
  <valueMetadata count="2">
    <bk>
      <rc t="2" v="0"/>
    </bk>
    <bk>
      <rc t="2" v="1"/>
    </bk>
  </valueMetadata>
</metadata>
</file>

<file path=xl/sharedStrings.xml><?xml version="1.0" encoding="utf-8"?>
<sst xmlns="http://schemas.openxmlformats.org/spreadsheetml/2006/main" count="1905" uniqueCount="272">
  <si>
    <t>Name</t>
  </si>
  <si>
    <t>Gender</t>
  </si>
  <si>
    <t>Department</t>
  </si>
  <si>
    <t>Age</t>
  </si>
  <si>
    <t>Date Joined</t>
  </si>
  <si>
    <t>Salary</t>
  </si>
  <si>
    <t>Rating</t>
  </si>
  <si>
    <t>Barr Faughny</t>
  </si>
  <si>
    <t>Female</t>
  </si>
  <si>
    <t>Procurement</t>
  </si>
  <si>
    <t>Exceptional</t>
  </si>
  <si>
    <t>Dennison Crosswaite</t>
  </si>
  <si>
    <t>Website</t>
  </si>
  <si>
    <t>Above average</t>
  </si>
  <si>
    <t>Gunar Cockshoot</t>
  </si>
  <si>
    <t>Male</t>
  </si>
  <si>
    <t>Average</t>
  </si>
  <si>
    <t>Wilone O'Kielt</t>
  </si>
  <si>
    <t>Gigi Bohling</t>
  </si>
  <si>
    <t>Sales</t>
  </si>
  <si>
    <t>Curtice Advani</t>
  </si>
  <si>
    <t>Finance</t>
  </si>
  <si>
    <t>Kaine Padly</t>
  </si>
  <si>
    <t>Ches Bonnell</t>
  </si>
  <si>
    <t>Poor</t>
  </si>
  <si>
    <t>Andria Kimpton</t>
  </si>
  <si>
    <t>Brien Boise</t>
  </si>
  <si>
    <t>Husein Augar</t>
  </si>
  <si>
    <t>Karlen McCaffrey</t>
  </si>
  <si>
    <t>Jan Morforth</t>
  </si>
  <si>
    <t>Dotty Strutley</t>
  </si>
  <si>
    <t>Kelci Walkden</t>
  </si>
  <si>
    <t>Marney O'Breen</t>
  </si>
  <si>
    <t>Rafaelita Blaksland</t>
  </si>
  <si>
    <t>Madelene Upcott</t>
  </si>
  <si>
    <t>Beverie Moffet</t>
  </si>
  <si>
    <t>Oby Sorrel</t>
  </si>
  <si>
    <t>Mallorie Waber</t>
  </si>
  <si>
    <t>Jehu Rudeforth</t>
  </si>
  <si>
    <t>Van Tuxwell</t>
  </si>
  <si>
    <t>Roddy Speechley</t>
  </si>
  <si>
    <t>Camilla Castle</t>
  </si>
  <si>
    <t>Very poor</t>
  </si>
  <si>
    <t>Janene Hairsine</t>
  </si>
  <si>
    <t>Niall Selesnick</t>
  </si>
  <si>
    <t>Ebonee Roxburgh</t>
  </si>
  <si>
    <t>Zach Polon</t>
  </si>
  <si>
    <t>Orton Livick</t>
  </si>
  <si>
    <t>Gray Seamon</t>
  </si>
  <si>
    <t>Benny Karolovsky</t>
  </si>
  <si>
    <t>Dyna Doucette</t>
  </si>
  <si>
    <t>Erin Androsik</t>
  </si>
  <si>
    <t>Madge McCloughen</t>
  </si>
  <si>
    <t>Esmaria Denecamp</t>
  </si>
  <si>
    <t>Hogan Iles</t>
  </si>
  <si>
    <t>Valentia Etteridge</t>
  </si>
  <si>
    <t>HR</t>
  </si>
  <si>
    <t>Archibald Filliskirk</t>
  </si>
  <si>
    <t>Lindy Guillet</t>
  </si>
  <si>
    <t>Dell Molloy</t>
  </si>
  <si>
    <t>Ewart Laphorn</t>
  </si>
  <si>
    <t>Vic Radolf</t>
  </si>
  <si>
    <t>Virginia McConville</t>
  </si>
  <si>
    <t>Kaye Crocroft</t>
  </si>
  <si>
    <t>Mollie Hanway</t>
  </si>
  <si>
    <t>Hoyt D'Alesco</t>
  </si>
  <si>
    <t>Crissie Cordel</t>
  </si>
  <si>
    <t>Myer McCory</t>
  </si>
  <si>
    <t>Enoch Dowrey</t>
  </si>
  <si>
    <t>Kissiah Maydway</t>
  </si>
  <si>
    <t>Ambros Murthwaite</t>
  </si>
  <si>
    <t>Torrance Collier</t>
  </si>
  <si>
    <t>Allene Gobbet</t>
  </si>
  <si>
    <t>Violante Courtonne</t>
  </si>
  <si>
    <t>Merrilee Plenty</t>
  </si>
  <si>
    <t>Tatum Hush</t>
  </si>
  <si>
    <t>Kath Bletsoe</t>
  </si>
  <si>
    <t>Hinda Label</t>
  </si>
  <si>
    <t>Shari McNee</t>
  </si>
  <si>
    <t>My Hanscome</t>
  </si>
  <si>
    <t>Drusy MacCombe</t>
  </si>
  <si>
    <t>Halimeda Kuscha</t>
  </si>
  <si>
    <t>William Reeveley</t>
  </si>
  <si>
    <t>Tracy Renad</t>
  </si>
  <si>
    <t>Kassi Jonson</t>
  </si>
  <si>
    <t>Constantino Espley</t>
  </si>
  <si>
    <t>Gretchen Callow</t>
  </si>
  <si>
    <t>Bev Lashley</t>
  </si>
  <si>
    <t>Sibyl Dunkirk</t>
  </si>
  <si>
    <t>Alta Kaszper</t>
  </si>
  <si>
    <t>Shayne Stegel</t>
  </si>
  <si>
    <t>Hyacinthie Braybrooke</t>
  </si>
  <si>
    <t>Agnes Collicott</t>
  </si>
  <si>
    <t>Teressa Udden</t>
  </si>
  <si>
    <t>Bennie Pepis</t>
  </si>
  <si>
    <t>Elia Cockton</t>
  </si>
  <si>
    <t>Cherlyn Barter</t>
  </si>
  <si>
    <t>Murry Dryburgh</t>
  </si>
  <si>
    <t>Mahalia Larcher</t>
  </si>
  <si>
    <t>Bili Sizey</t>
  </si>
  <si>
    <t>Lilyan Klimpt</t>
  </si>
  <si>
    <t>Caro Chappel</t>
  </si>
  <si>
    <t>Leilah Yesinin</t>
  </si>
  <si>
    <t>Collin Jagson</t>
  </si>
  <si>
    <t>Kellsie Waby</t>
  </si>
  <si>
    <t>Simon Kembery</t>
  </si>
  <si>
    <t>Tawnya Tickel</t>
  </si>
  <si>
    <t>Bernie Gorges</t>
  </si>
  <si>
    <t>Florinda Crace</t>
  </si>
  <si>
    <t>Oran Buxcy</t>
  </si>
  <si>
    <t>Employee Data</t>
  </si>
  <si>
    <t>Nanak Sapna</t>
  </si>
  <si>
    <t>Karuna Pashupathy</t>
  </si>
  <si>
    <t>Amal Nimesh</t>
  </si>
  <si>
    <t>Ramnath Ravuri</t>
  </si>
  <si>
    <t>Yauvani Tarpa</t>
  </si>
  <si>
    <t>Upendra Swati</t>
  </si>
  <si>
    <t>Hridaynath Tendulkar</t>
  </si>
  <si>
    <t>Gangadutt Ragha</t>
  </si>
  <si>
    <t>Rameshwari Chikodi</t>
  </si>
  <si>
    <t>Pratigya Rema</t>
  </si>
  <si>
    <t>Kantimoy Pritish</t>
  </si>
  <si>
    <t>Tarala Vishaal</t>
  </si>
  <si>
    <t>Ardhendu Abhichandra Jayakar</t>
  </si>
  <si>
    <t>Jagajeet Viraj</t>
  </si>
  <si>
    <t>Shattesh Utpat</t>
  </si>
  <si>
    <t>Agrata Rajarama</t>
  </si>
  <si>
    <t>Sawini Chandan</t>
  </si>
  <si>
    <t>Damayanti Thangavadivelu</t>
  </si>
  <si>
    <t>Indu Varada Sumedh</t>
  </si>
  <si>
    <t>Krittika Gaekwad</t>
  </si>
  <si>
    <t>Mardav Ramaswami</t>
  </si>
  <si>
    <t>Lalit Kothari</t>
  </si>
  <si>
    <t>Bhuvan Pals</t>
  </si>
  <si>
    <t>Sarayu Ragunathan</t>
  </si>
  <si>
    <t>Ayog Chakrabarti</t>
  </si>
  <si>
    <t>Shevantilal Muppala</t>
  </si>
  <si>
    <t>Suchira Bhanupriya Tapti</t>
  </si>
  <si>
    <t>Mahindra Sreedharan</t>
  </si>
  <si>
    <t>Chitrasen Laul</t>
  </si>
  <si>
    <t>Akbar Sorabhjee</t>
  </si>
  <si>
    <t>Shulabh Qutub Sundaramoorthy</t>
  </si>
  <si>
    <t>Sahila Chandrasekhar</t>
  </si>
  <si>
    <t>Satyendra Venkatadri</t>
  </si>
  <si>
    <t>Piyali Mahanthapa</t>
  </si>
  <si>
    <t>Rukma Vinita</t>
  </si>
  <si>
    <t>Vanmala Shriharsha</t>
  </si>
  <si>
    <t>Sarojini Naueshwara</t>
  </si>
  <si>
    <t>Kaishori Harathi Kateel</t>
  </si>
  <si>
    <t>Shobhana Samuel</t>
  </si>
  <si>
    <t>Krishnakanta Vellanki</t>
  </si>
  <si>
    <t>Shiuli Sapna</t>
  </si>
  <si>
    <t>Anjushri Chandiramani</t>
  </si>
  <si>
    <t>Fullara Sushanti Mokate</t>
  </si>
  <si>
    <t>Shreela Ramasubraman</t>
  </si>
  <si>
    <t>Gumwant Veera</t>
  </si>
  <si>
    <t>Deepali Charan</t>
  </si>
  <si>
    <t>Geena Raghavanpillai</t>
  </si>
  <si>
    <t>Prerana Nishita</t>
  </si>
  <si>
    <t>Shekhar Eswara</t>
  </si>
  <si>
    <t>Kamalakshi Mukundan</t>
  </si>
  <si>
    <t>Sahas Sanabhi Shrikant</t>
  </si>
  <si>
    <t>Ranajay Kailashnath Richa</t>
  </si>
  <si>
    <t>Sukhdev Nageshwar</t>
  </si>
  <si>
    <t>Rushil Kripa</t>
  </si>
  <si>
    <t>Daruka Ghazali</t>
  </si>
  <si>
    <t>Godavari Veena</t>
  </si>
  <si>
    <t>Anumati Shyamari Meherhomji</t>
  </si>
  <si>
    <t>Abhaya Priyavardhan</t>
  </si>
  <si>
    <t>Purnendu Vijayarangan</t>
  </si>
  <si>
    <t>Sameer Shashank Sapra</t>
  </si>
  <si>
    <t>Asija Pothireddy</t>
  </si>
  <si>
    <t>Rupak Mehra</t>
  </si>
  <si>
    <t>Makshi Vinutha</t>
  </si>
  <si>
    <t>Pragya Nilufar</t>
  </si>
  <si>
    <t>Dhruv Manjunath</t>
  </si>
  <si>
    <t>Yagna Sujeev</t>
  </si>
  <si>
    <t>Mithil Nadkarni</t>
  </si>
  <si>
    <t>Bandhula Sathyanna</t>
  </si>
  <si>
    <t>Shubhra Potla</t>
  </si>
  <si>
    <t>Narois Motiwala</t>
  </si>
  <si>
    <t>Madhumati Gazala Soumitra</t>
  </si>
  <si>
    <t>Sanchali Shirish</t>
  </si>
  <si>
    <t>Chandana Sannidhi Surnilla</t>
  </si>
  <si>
    <t>Devasree Fullara Saurin</t>
  </si>
  <si>
    <t>Kunja Prashanta Vibha</t>
  </si>
  <si>
    <t>Kevalkumar Solanki</t>
  </si>
  <si>
    <t>Kulbhushan Moorthy</t>
  </si>
  <si>
    <t>Hemavati Muthiah</t>
  </si>
  <si>
    <t>Sartaj Probal</t>
  </si>
  <si>
    <t>Jaishree Atasi Yavatkar</t>
  </si>
  <si>
    <t>Ilesh Dasgupta</t>
  </si>
  <si>
    <t>Waheeda Vasuman</t>
  </si>
  <si>
    <t>Vinanti Choudhari</t>
  </si>
  <si>
    <t>Manjusri Ruchi</t>
  </si>
  <si>
    <t>Deepit Ranjana</t>
  </si>
  <si>
    <t>Amlankusum Rajabhushan</t>
  </si>
  <si>
    <t>Udyan Lanka</t>
  </si>
  <si>
    <t>Baruna Ogale</t>
  </si>
  <si>
    <t>Heer Pennathur</t>
  </si>
  <si>
    <t>Vasu Nandin</t>
  </si>
  <si>
    <t>Madhavdas Buhpathi</t>
  </si>
  <si>
    <t>Mirium Seemantini Shivakumar</t>
  </si>
  <si>
    <t>Country</t>
  </si>
  <si>
    <t>NZ</t>
  </si>
  <si>
    <t>Other</t>
  </si>
  <si>
    <t>IND</t>
  </si>
  <si>
    <t>Average Salary:</t>
  </si>
  <si>
    <t>Count of Employees:</t>
  </si>
  <si>
    <t>Average Age:</t>
  </si>
  <si>
    <t>Average Tenure:</t>
  </si>
  <si>
    <t>Median Check to see for Skew</t>
  </si>
  <si>
    <t>Tenure</t>
  </si>
  <si>
    <t>Female Count</t>
  </si>
  <si>
    <t xml:space="preserve"> % Female in company</t>
  </si>
  <si>
    <t>% of staff earning over 90000</t>
  </si>
  <si>
    <t>Number of staff earning over 90000</t>
  </si>
  <si>
    <t>Information Finder:</t>
  </si>
  <si>
    <t>Basic Understanding:</t>
  </si>
  <si>
    <t>Gender:</t>
  </si>
  <si>
    <t>Age:</t>
  </si>
  <si>
    <t>Rating:</t>
  </si>
  <si>
    <t>Department:</t>
  </si>
  <si>
    <t>Salary:</t>
  </si>
  <si>
    <t>Country:</t>
  </si>
  <si>
    <t>Tenure:</t>
  </si>
  <si>
    <t>Information Finder v2</t>
  </si>
  <si>
    <t>Department Name</t>
  </si>
  <si>
    <t>Number of people in the department:</t>
  </si>
  <si>
    <t>Column Labels</t>
  </si>
  <si>
    <t>Count of Name</t>
  </si>
  <si>
    <t>Average of Age</t>
  </si>
  <si>
    <t>Values</t>
  </si>
  <si>
    <t>Average of Salary</t>
  </si>
  <si>
    <t>Average of Tenure</t>
  </si>
  <si>
    <t>Male vs Female comparison</t>
  </si>
  <si>
    <t>Bonus Calculation:</t>
  </si>
  <si>
    <t>Bonus is 3% of salary, if tenure &gt; 2. Else 2%</t>
  </si>
  <si>
    <t>Bonus</t>
  </si>
  <si>
    <t>Average Salary</t>
  </si>
  <si>
    <t>Rating Value using IFS</t>
  </si>
  <si>
    <t>Rating using Lookup</t>
  </si>
  <si>
    <t>Lookup Array for Ratings</t>
  </si>
  <si>
    <t>Row Labels</t>
  </si>
  <si>
    <t>Grand Total</t>
  </si>
  <si>
    <t>2020</t>
  </si>
  <si>
    <t>May</t>
  </si>
  <si>
    <t>Jun</t>
  </si>
  <si>
    <t>Jul</t>
  </si>
  <si>
    <t>Aug</t>
  </si>
  <si>
    <t>Sep</t>
  </si>
  <si>
    <t>Oct</t>
  </si>
  <si>
    <t>Nov</t>
  </si>
  <si>
    <t>Dec</t>
  </si>
  <si>
    <t>2021</t>
  </si>
  <si>
    <t>Jan</t>
  </si>
  <si>
    <t>Feb</t>
  </si>
  <si>
    <t>Mar</t>
  </si>
  <si>
    <t>Apr</t>
  </si>
  <si>
    <t>2022</t>
  </si>
  <si>
    <t>2023</t>
  </si>
  <si>
    <t>Total Employees</t>
  </si>
  <si>
    <t>Count of new hires</t>
  </si>
  <si>
    <t>Month/Year</t>
  </si>
  <si>
    <t>Month</t>
  </si>
  <si>
    <t>Headcount</t>
  </si>
  <si>
    <t>Running Total</t>
  </si>
  <si>
    <t>For India vs NZ.</t>
  </si>
  <si>
    <t>Employees</t>
  </si>
  <si>
    <t xml:space="preserve">Headcount by Department </t>
  </si>
  <si>
    <t>India</t>
  </si>
  <si>
    <t>New Zealand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</si>
</sst>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409]* #,##0.00_ ;_-[$$-409]* \-#,##0.00\ ;_-[$$-409]* &quot;-&quot;??_ ;_-@_ "/>
    <numFmt numFmtId="165" formatCode="[$$-409]#,##0.00"/>
    <numFmt numFmtId="166" formatCode="_-[$$-409]* #,##0_ ;_-[$$-409]* \-#,##0\ ;_-[$$-409]* &quot;-&quot;??_ ;_-@_ "/>
    <numFmt numFmtId="167" formatCode="_-[$$-409]* #,##0_ ;_-[$$-409]* \-#,##0\ ;_-[$$-409]* &quot;-&quot;_ ;_-@_ "/>
    <numFmt numFmtId="170" formatCode="[$$-409]#,##0"/>
  </numFmts>
  <fonts count="7" x14ac:knownFonts="1">
    <font>
      <sz val="11"/>
      <color theme="1"/>
      <name val="Calibri"/>
      <family val="2"/>
      <scheme val="minor"/>
    </font>
    <font>
      <sz val="28"/>
      <color theme="1"/>
      <name val="Segoe UI Light"/>
      <family val="2"/>
    </font>
    <font>
      <sz val="11"/>
      <color theme="1"/>
      <name val="Calibri"/>
      <family val="2"/>
      <scheme val="minor"/>
    </font>
    <font>
      <sz val="48"/>
      <color theme="0"/>
      <name val="Calibri"/>
      <family val="2"/>
      <scheme val="minor"/>
    </font>
    <font>
      <sz val="28"/>
      <color theme="0"/>
      <name val="Calibri"/>
      <family val="2"/>
      <scheme val="minor"/>
    </font>
    <font>
      <sz val="20"/>
      <color theme="0"/>
      <name val="Calibri"/>
      <family val="2"/>
      <scheme val="minor"/>
    </font>
    <font>
      <b/>
      <sz val="18"/>
      <color theme="1"/>
      <name val="Calibri"/>
      <family val="2"/>
      <scheme val="minor"/>
    </font>
  </fonts>
  <fills count="9">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rgb="FFFF0000"/>
        <bgColor indexed="64"/>
      </patternFill>
    </fill>
    <fill>
      <patternFill patternType="solid">
        <fgColor rgb="FFFFC000"/>
        <bgColor theme="9" tint="0.79998168889431442"/>
      </patternFill>
    </fill>
    <fill>
      <patternFill patternType="solid">
        <fgColor rgb="FFFFFF00"/>
        <bgColor indexed="64"/>
      </patternFill>
    </fill>
    <fill>
      <patternFill patternType="solid">
        <fgColor rgb="FF00B0F0"/>
        <bgColor indexed="64"/>
      </patternFill>
    </fill>
    <fill>
      <patternFill patternType="solid">
        <fgColor theme="5"/>
        <bgColor indexed="64"/>
      </patternFill>
    </fill>
  </fills>
  <borders count="11">
    <border>
      <left/>
      <right/>
      <top/>
      <bottom/>
      <diagonal/>
    </border>
    <border>
      <left style="thin">
        <color theme="9" tint="0.39997558519241921"/>
      </left>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2" fillId="0" borderId="0" applyFont="0" applyFill="0" applyBorder="0" applyAlignment="0" applyProtection="0"/>
  </cellStyleXfs>
  <cellXfs count="44">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15" fontId="0" fillId="0" borderId="0" xfId="0" applyNumberFormat="1"/>
    <xf numFmtId="14" fontId="0" fillId="0" borderId="0" xfId="0" applyNumberFormat="1"/>
    <xf numFmtId="164" fontId="0" fillId="0" borderId="0" xfId="0" applyNumberFormat="1"/>
    <xf numFmtId="2" fontId="0" fillId="0" borderId="0" xfId="0" applyNumberFormat="1"/>
    <xf numFmtId="0" fontId="0" fillId="0" borderId="2" xfId="0" applyBorder="1"/>
    <xf numFmtId="164" fontId="0" fillId="0" borderId="2" xfId="0" applyNumberFormat="1" applyBorder="1"/>
    <xf numFmtId="9" fontId="0" fillId="0" borderId="2" xfId="0" applyNumberFormat="1" applyBorder="1"/>
    <xf numFmtId="0" fontId="0" fillId="4" borderId="2" xfId="0" applyFill="1" applyBorder="1"/>
    <xf numFmtId="0" fontId="0" fillId="4" borderId="0" xfId="0" applyFill="1"/>
    <xf numFmtId="0" fontId="0" fillId="5" borderId="1" xfId="0" applyFill="1" applyBorder="1"/>
    <xf numFmtId="0" fontId="0" fillId="0" borderId="2" xfId="0" applyBorder="1" applyAlignment="1">
      <alignment horizontal="right"/>
    </xf>
    <xf numFmtId="14" fontId="0" fillId="0" borderId="2" xfId="0" applyNumberFormat="1" applyBorder="1" applyAlignment="1">
      <alignment horizontal="right"/>
    </xf>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0" borderId="2" xfId="0" applyBorder="1" applyAlignment="1">
      <alignment horizontal="left"/>
    </xf>
    <xf numFmtId="0" fontId="0" fillId="0" borderId="0" xfId="0" applyAlignment="1">
      <alignment horizontal="left" indent="1"/>
    </xf>
    <xf numFmtId="17" fontId="0" fillId="0" borderId="0" xfId="0" applyNumberFormat="1"/>
    <xf numFmtId="0" fontId="0" fillId="6" borderId="0" xfId="0" applyFill="1" applyAlignment="1">
      <alignment horizontal="center"/>
    </xf>
    <xf numFmtId="0" fontId="0" fillId="0" borderId="2" xfId="0"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0" xfId="0" applyBorder="1"/>
    <xf numFmtId="0" fontId="0" fillId="0" borderId="7" xfId="0" applyBorder="1"/>
    <xf numFmtId="0" fontId="0" fillId="0" borderId="8" xfId="0" applyBorder="1"/>
    <xf numFmtId="0" fontId="0" fillId="0" borderId="9" xfId="0" applyBorder="1"/>
    <xf numFmtId="0" fontId="0" fillId="0" borderId="10" xfId="0" applyBorder="1"/>
    <xf numFmtId="0" fontId="3" fillId="7" borderId="0" xfId="0" applyFont="1" applyFill="1" applyAlignment="1">
      <alignment horizontal="center" vertical="center"/>
    </xf>
    <xf numFmtId="9" fontId="4" fillId="7" borderId="0" xfId="1" applyFont="1" applyFill="1" applyAlignment="1">
      <alignment horizontal="center" vertical="center"/>
    </xf>
    <xf numFmtId="167" fontId="0" fillId="0" borderId="0" xfId="0" applyNumberFormat="1"/>
    <xf numFmtId="170" fontId="5" fillId="7" borderId="0" xfId="1" applyNumberFormat="1" applyFont="1" applyFill="1" applyAlignment="1">
      <alignment horizontal="center" vertical="center"/>
    </xf>
    <xf numFmtId="0" fontId="3" fillId="8" borderId="0" xfId="0" applyFont="1" applyFill="1" applyAlignment="1">
      <alignment horizontal="center" vertical="center"/>
    </xf>
    <xf numFmtId="9" fontId="4" fillId="8" borderId="0" xfId="1" applyFont="1" applyFill="1" applyAlignment="1">
      <alignment horizontal="center" vertical="center"/>
    </xf>
    <xf numFmtId="170" fontId="5" fillId="8" borderId="0" xfId="1" applyNumberFormat="1" applyFont="1" applyFill="1" applyAlignment="1">
      <alignment horizontal="center" vertical="center"/>
    </xf>
    <xf numFmtId="0" fontId="0" fillId="0" borderId="0" xfId="0" applyNumberFormat="1"/>
    <xf numFmtId="0" fontId="6" fillId="0" borderId="0" xfId="0" applyFont="1"/>
    <xf numFmtId="0" fontId="6" fillId="0" borderId="0" xfId="0" applyFont="1" applyAlignment="1">
      <alignment horizontal="center" vertical="center"/>
    </xf>
  </cellXfs>
  <cellStyles count="2">
    <cellStyle name="Normal" xfId="0" builtinId="0"/>
    <cellStyle name="Percent" xfId="1" builtinId="5"/>
  </cellStyles>
  <dxfs count="18">
    <dxf>
      <font>
        <color rgb="FF006100"/>
      </font>
      <fill>
        <patternFill>
          <bgColor rgb="FFC6EFCE"/>
        </patternFill>
      </fill>
    </dxf>
    <dxf>
      <numFmt numFmtId="165" formatCode="[$$-409]#,##0.00"/>
    </dxf>
    <dxf>
      <numFmt numFmtId="2" formatCode="0.00"/>
    </dxf>
    <dxf>
      <numFmt numFmtId="166" formatCode="_-[$$-409]* #,##0_ ;_-[$$-409]* \-#,##0\ ;_-[$$-409]* &quot;-&quot;??_ ;_-@_ "/>
    </dxf>
    <dxf>
      <numFmt numFmtId="0" formatCode="General"/>
    </dxf>
    <dxf>
      <numFmt numFmtId="0" formatCode="General"/>
    </dxf>
    <dxf>
      <numFmt numFmtId="166" formatCode="_-[$$-409]* #,##0_ ;_-[$$-409]* \-#,##0\ ;_-[$$-409]* &quot;-&quot;??_ ;_-@_ "/>
    </dxf>
    <dxf>
      <numFmt numFmtId="2" formatCode="0.00"/>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64" formatCode="_-[$$-409]* #,##0.00_ ;_-[$$-409]* \-#,##0.00\ ;_-[$$-409]* &quot;-&quot;??_ ;_-@_ "/>
    </dxf>
    <dxf>
      <numFmt numFmtId="20" formatCode="dd\-mmm\-yy"/>
    </dxf>
    <dxf>
      <numFmt numFmtId="164" formatCode="_-[$$-409]* #,##0.00_ ;_-[$$-409]* \-#,##0.00\ ;_-[$$-409]* &quot;-&quot;??_ ;_-@_ "/>
    </dxf>
    <dxf>
      <numFmt numFmtId="20"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vs.</a:t>
            </a:r>
            <a:r>
              <a:rPr lang="en-US" baseline="0"/>
              <a:t> Rating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'All Staff'!$M$1</c:f>
              <c:strCache>
                <c:ptCount val="1"/>
                <c:pt idx="0">
                  <c:v>Rating using Lookup</c:v>
                </c:pt>
              </c:strCache>
            </c:strRef>
          </c:tx>
          <c:spPr>
            <a:ln w="19050" cap="rnd">
              <a:noFill/>
              <a:round/>
            </a:ln>
            <a:effectLst/>
          </c:spPr>
          <c:marker>
            <c:symbol val="circle"/>
            <c:size val="5"/>
            <c:spPr>
              <a:solidFill>
                <a:schemeClr val="accent1"/>
              </a:solidFill>
              <a:ln w="9525">
                <a:solidFill>
                  <a:schemeClr val="accent1"/>
                </a:solidFill>
              </a:ln>
              <a:effectLst/>
            </c:spPr>
          </c:marker>
          <c:xVal>
            <c:numRef>
              <c:f>'All Staff'!$H$2:$H$184</c:f>
              <c:numCache>
                <c:formatCode>General</c:formatCode>
                <c:ptCount val="183"/>
                <c:pt idx="0">
                  <c:v>33920</c:v>
                </c:pt>
                <c:pt idx="1">
                  <c:v>33920</c:v>
                </c:pt>
                <c:pt idx="2">
                  <c:v>34980</c:v>
                </c:pt>
                <c:pt idx="3">
                  <c:v>34980</c:v>
                </c:pt>
                <c:pt idx="4">
                  <c:v>36040</c:v>
                </c:pt>
                <c:pt idx="5">
                  <c:v>36040</c:v>
                </c:pt>
                <c:pt idx="6">
                  <c:v>37920</c:v>
                </c:pt>
                <c:pt idx="7">
                  <c:v>37920</c:v>
                </c:pt>
                <c:pt idx="8">
                  <c:v>40400</c:v>
                </c:pt>
                <c:pt idx="9">
                  <c:v>40400</c:v>
                </c:pt>
                <c:pt idx="10">
                  <c:v>41570</c:v>
                </c:pt>
                <c:pt idx="11">
                  <c:v>41570</c:v>
                </c:pt>
                <c:pt idx="12">
                  <c:v>41980</c:v>
                </c:pt>
                <c:pt idx="13">
                  <c:v>41980</c:v>
                </c:pt>
                <c:pt idx="14">
                  <c:v>43510</c:v>
                </c:pt>
                <c:pt idx="15">
                  <c:v>43510</c:v>
                </c:pt>
                <c:pt idx="16">
                  <c:v>43840</c:v>
                </c:pt>
                <c:pt idx="17">
                  <c:v>43840</c:v>
                </c:pt>
                <c:pt idx="18">
                  <c:v>45510</c:v>
                </c:pt>
                <c:pt idx="19">
                  <c:v>45510</c:v>
                </c:pt>
                <c:pt idx="20">
                  <c:v>47360</c:v>
                </c:pt>
                <c:pt idx="21">
                  <c:v>47360</c:v>
                </c:pt>
                <c:pt idx="22">
                  <c:v>48170</c:v>
                </c:pt>
                <c:pt idx="23">
                  <c:v>48170</c:v>
                </c:pt>
                <c:pt idx="24">
                  <c:v>48530</c:v>
                </c:pt>
                <c:pt idx="25">
                  <c:v>48530</c:v>
                </c:pt>
                <c:pt idx="26">
                  <c:v>48950</c:v>
                </c:pt>
                <c:pt idx="27">
                  <c:v>48950</c:v>
                </c:pt>
                <c:pt idx="28">
                  <c:v>48980</c:v>
                </c:pt>
                <c:pt idx="29">
                  <c:v>48980</c:v>
                </c:pt>
                <c:pt idx="30">
                  <c:v>49630</c:v>
                </c:pt>
                <c:pt idx="31">
                  <c:v>49630</c:v>
                </c:pt>
                <c:pt idx="32">
                  <c:v>52610</c:v>
                </c:pt>
                <c:pt idx="33">
                  <c:v>52610</c:v>
                </c:pt>
                <c:pt idx="34">
                  <c:v>53240</c:v>
                </c:pt>
                <c:pt idx="35">
                  <c:v>53240</c:v>
                </c:pt>
                <c:pt idx="36">
                  <c:v>53540</c:v>
                </c:pt>
                <c:pt idx="37">
                  <c:v>53540</c:v>
                </c:pt>
                <c:pt idx="38">
                  <c:v>53540</c:v>
                </c:pt>
                <c:pt idx="39">
                  <c:v>53540</c:v>
                </c:pt>
                <c:pt idx="40">
                  <c:v>53870</c:v>
                </c:pt>
                <c:pt idx="41">
                  <c:v>53870</c:v>
                </c:pt>
                <c:pt idx="42">
                  <c:v>54970</c:v>
                </c:pt>
                <c:pt idx="43">
                  <c:v>54970</c:v>
                </c:pt>
                <c:pt idx="44">
                  <c:v>56870</c:v>
                </c:pt>
                <c:pt idx="45">
                  <c:v>56870</c:v>
                </c:pt>
                <c:pt idx="46">
                  <c:v>57090</c:v>
                </c:pt>
                <c:pt idx="47">
                  <c:v>57090</c:v>
                </c:pt>
                <c:pt idx="48">
                  <c:v>58100</c:v>
                </c:pt>
                <c:pt idx="49">
                  <c:v>58100</c:v>
                </c:pt>
                <c:pt idx="50">
                  <c:v>58940</c:v>
                </c:pt>
                <c:pt idx="51">
                  <c:v>58940</c:v>
                </c:pt>
                <c:pt idx="52">
                  <c:v>58960</c:v>
                </c:pt>
                <c:pt idx="53">
                  <c:v>58960</c:v>
                </c:pt>
                <c:pt idx="54">
                  <c:v>59430</c:v>
                </c:pt>
                <c:pt idx="55">
                  <c:v>59430</c:v>
                </c:pt>
                <c:pt idx="56">
                  <c:v>60130</c:v>
                </c:pt>
                <c:pt idx="57">
                  <c:v>60130</c:v>
                </c:pt>
                <c:pt idx="58">
                  <c:v>60570</c:v>
                </c:pt>
                <c:pt idx="59">
                  <c:v>60570</c:v>
                </c:pt>
                <c:pt idx="60">
                  <c:v>62780</c:v>
                </c:pt>
                <c:pt idx="61">
                  <c:v>62780</c:v>
                </c:pt>
                <c:pt idx="62">
                  <c:v>64000</c:v>
                </c:pt>
                <c:pt idx="63">
                  <c:v>64000</c:v>
                </c:pt>
                <c:pt idx="64">
                  <c:v>65360</c:v>
                </c:pt>
                <c:pt idx="65">
                  <c:v>65360</c:v>
                </c:pt>
                <c:pt idx="66">
                  <c:v>65700</c:v>
                </c:pt>
                <c:pt idx="67">
                  <c:v>65700</c:v>
                </c:pt>
                <c:pt idx="68">
                  <c:v>65920</c:v>
                </c:pt>
                <c:pt idx="69">
                  <c:v>65920</c:v>
                </c:pt>
                <c:pt idx="70">
                  <c:v>67910</c:v>
                </c:pt>
                <c:pt idx="71">
                  <c:v>67910</c:v>
                </c:pt>
                <c:pt idx="72">
                  <c:v>67950</c:v>
                </c:pt>
                <c:pt idx="73">
                  <c:v>67950</c:v>
                </c:pt>
                <c:pt idx="74">
                  <c:v>68900</c:v>
                </c:pt>
                <c:pt idx="75">
                  <c:v>68900</c:v>
                </c:pt>
                <c:pt idx="76">
                  <c:v>69070</c:v>
                </c:pt>
                <c:pt idx="77">
                  <c:v>69070</c:v>
                </c:pt>
                <c:pt idx="78">
                  <c:v>69120</c:v>
                </c:pt>
                <c:pt idx="79">
                  <c:v>69120</c:v>
                </c:pt>
                <c:pt idx="80">
                  <c:v>69710</c:v>
                </c:pt>
                <c:pt idx="81">
                  <c:v>69710</c:v>
                </c:pt>
                <c:pt idx="82">
                  <c:v>70270</c:v>
                </c:pt>
                <c:pt idx="83">
                  <c:v>70270</c:v>
                </c:pt>
                <c:pt idx="84">
                  <c:v>70610</c:v>
                </c:pt>
                <c:pt idx="85">
                  <c:v>70610</c:v>
                </c:pt>
                <c:pt idx="86">
                  <c:v>71380</c:v>
                </c:pt>
                <c:pt idx="87">
                  <c:v>71380</c:v>
                </c:pt>
                <c:pt idx="88">
                  <c:v>74550</c:v>
                </c:pt>
                <c:pt idx="89">
                  <c:v>74550</c:v>
                </c:pt>
                <c:pt idx="90">
                  <c:v>75000</c:v>
                </c:pt>
                <c:pt idx="91">
                  <c:v>75000</c:v>
                </c:pt>
                <c:pt idx="92">
                  <c:v>75280</c:v>
                </c:pt>
                <c:pt idx="93">
                  <c:v>75280</c:v>
                </c:pt>
                <c:pt idx="94">
                  <c:v>75480</c:v>
                </c:pt>
                <c:pt idx="95">
                  <c:v>75480</c:v>
                </c:pt>
                <c:pt idx="96">
                  <c:v>75880</c:v>
                </c:pt>
                <c:pt idx="97">
                  <c:v>75880</c:v>
                </c:pt>
                <c:pt idx="98">
                  <c:v>75970</c:v>
                </c:pt>
                <c:pt idx="99">
                  <c:v>75970</c:v>
                </c:pt>
                <c:pt idx="100">
                  <c:v>76900</c:v>
                </c:pt>
                <c:pt idx="101">
                  <c:v>76900</c:v>
                </c:pt>
                <c:pt idx="102">
                  <c:v>78390</c:v>
                </c:pt>
                <c:pt idx="103">
                  <c:v>78390</c:v>
                </c:pt>
                <c:pt idx="104">
                  <c:v>78540</c:v>
                </c:pt>
                <c:pt idx="105">
                  <c:v>78540</c:v>
                </c:pt>
                <c:pt idx="106">
                  <c:v>79570</c:v>
                </c:pt>
                <c:pt idx="107">
                  <c:v>79570</c:v>
                </c:pt>
                <c:pt idx="108">
                  <c:v>80700</c:v>
                </c:pt>
                <c:pt idx="109">
                  <c:v>80700</c:v>
                </c:pt>
                <c:pt idx="110">
                  <c:v>83750</c:v>
                </c:pt>
                <c:pt idx="111">
                  <c:v>83750</c:v>
                </c:pt>
                <c:pt idx="112">
                  <c:v>85000</c:v>
                </c:pt>
                <c:pt idx="113">
                  <c:v>85000</c:v>
                </c:pt>
                <c:pt idx="114">
                  <c:v>86570</c:v>
                </c:pt>
                <c:pt idx="115">
                  <c:v>86570</c:v>
                </c:pt>
                <c:pt idx="116">
                  <c:v>87620</c:v>
                </c:pt>
                <c:pt idx="117">
                  <c:v>87620</c:v>
                </c:pt>
                <c:pt idx="118">
                  <c:v>88050</c:v>
                </c:pt>
                <c:pt idx="119">
                  <c:v>88050</c:v>
                </c:pt>
                <c:pt idx="120">
                  <c:v>90700</c:v>
                </c:pt>
                <c:pt idx="121">
                  <c:v>90700</c:v>
                </c:pt>
                <c:pt idx="122">
                  <c:v>91310</c:v>
                </c:pt>
                <c:pt idx="123">
                  <c:v>91310</c:v>
                </c:pt>
                <c:pt idx="124">
                  <c:v>91650</c:v>
                </c:pt>
                <c:pt idx="125">
                  <c:v>91650</c:v>
                </c:pt>
                <c:pt idx="126">
                  <c:v>92450</c:v>
                </c:pt>
                <c:pt idx="127">
                  <c:v>92450</c:v>
                </c:pt>
                <c:pt idx="128">
                  <c:v>92700</c:v>
                </c:pt>
                <c:pt idx="129">
                  <c:v>92700</c:v>
                </c:pt>
                <c:pt idx="130">
                  <c:v>96140</c:v>
                </c:pt>
                <c:pt idx="131">
                  <c:v>96140</c:v>
                </c:pt>
                <c:pt idx="132">
                  <c:v>96800</c:v>
                </c:pt>
                <c:pt idx="133">
                  <c:v>96800</c:v>
                </c:pt>
                <c:pt idx="134">
                  <c:v>99750</c:v>
                </c:pt>
                <c:pt idx="135">
                  <c:v>99750</c:v>
                </c:pt>
                <c:pt idx="136">
                  <c:v>99970</c:v>
                </c:pt>
                <c:pt idx="137">
                  <c:v>99970</c:v>
                </c:pt>
                <c:pt idx="138">
                  <c:v>100420</c:v>
                </c:pt>
                <c:pt idx="139">
                  <c:v>100420</c:v>
                </c:pt>
                <c:pt idx="140">
                  <c:v>103550</c:v>
                </c:pt>
                <c:pt idx="141">
                  <c:v>103550</c:v>
                </c:pt>
                <c:pt idx="142">
                  <c:v>104120</c:v>
                </c:pt>
                <c:pt idx="143">
                  <c:v>104120</c:v>
                </c:pt>
                <c:pt idx="144">
                  <c:v>104410</c:v>
                </c:pt>
                <c:pt idx="145">
                  <c:v>104410</c:v>
                </c:pt>
                <c:pt idx="146">
                  <c:v>104770</c:v>
                </c:pt>
                <c:pt idx="147">
                  <c:v>104770</c:v>
                </c:pt>
                <c:pt idx="148">
                  <c:v>106460</c:v>
                </c:pt>
                <c:pt idx="149">
                  <c:v>106460</c:v>
                </c:pt>
                <c:pt idx="150">
                  <c:v>107700</c:v>
                </c:pt>
                <c:pt idx="151">
                  <c:v>107700</c:v>
                </c:pt>
                <c:pt idx="152">
                  <c:v>109160</c:v>
                </c:pt>
                <c:pt idx="153">
                  <c:v>109160</c:v>
                </c:pt>
                <c:pt idx="154">
                  <c:v>109190</c:v>
                </c:pt>
                <c:pt idx="155">
                  <c:v>109190</c:v>
                </c:pt>
                <c:pt idx="156">
                  <c:v>112110</c:v>
                </c:pt>
                <c:pt idx="157">
                  <c:v>112110</c:v>
                </c:pt>
                <c:pt idx="158">
                  <c:v>112570</c:v>
                </c:pt>
                <c:pt idx="159">
                  <c:v>112570</c:v>
                </c:pt>
                <c:pt idx="160">
                  <c:v>112650</c:v>
                </c:pt>
                <c:pt idx="161">
                  <c:v>112650</c:v>
                </c:pt>
                <c:pt idx="162">
                  <c:v>112650</c:v>
                </c:pt>
                <c:pt idx="163">
                  <c:v>112780</c:v>
                </c:pt>
                <c:pt idx="164">
                  <c:v>112780</c:v>
                </c:pt>
                <c:pt idx="165">
                  <c:v>113280</c:v>
                </c:pt>
                <c:pt idx="166">
                  <c:v>113280</c:v>
                </c:pt>
                <c:pt idx="167">
                  <c:v>114180</c:v>
                </c:pt>
                <c:pt idx="168">
                  <c:v>114180</c:v>
                </c:pt>
                <c:pt idx="169">
                  <c:v>114870</c:v>
                </c:pt>
                <c:pt idx="170">
                  <c:v>114870</c:v>
                </c:pt>
                <c:pt idx="171">
                  <c:v>114890</c:v>
                </c:pt>
                <c:pt idx="172">
                  <c:v>114890</c:v>
                </c:pt>
                <c:pt idx="173">
                  <c:v>115440</c:v>
                </c:pt>
                <c:pt idx="174">
                  <c:v>115440</c:v>
                </c:pt>
                <c:pt idx="175">
                  <c:v>115920</c:v>
                </c:pt>
                <c:pt idx="176">
                  <c:v>115920</c:v>
                </c:pt>
                <c:pt idx="177">
                  <c:v>118100</c:v>
                </c:pt>
                <c:pt idx="178">
                  <c:v>118100</c:v>
                </c:pt>
                <c:pt idx="179">
                  <c:v>118840</c:v>
                </c:pt>
                <c:pt idx="180">
                  <c:v>118840</c:v>
                </c:pt>
                <c:pt idx="181">
                  <c:v>119110</c:v>
                </c:pt>
                <c:pt idx="182">
                  <c:v>119110</c:v>
                </c:pt>
              </c:numCache>
            </c:numRef>
          </c:xVal>
          <c:yVal>
            <c:numRef>
              <c:f>'All Staff'!$M$2:$M$184</c:f>
              <c:numCache>
                <c:formatCode>General</c:formatCode>
                <c:ptCount val="183"/>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1</c:v>
                </c:pt>
                <c:pt idx="15">
                  <c:v>1</c:v>
                </c:pt>
                <c:pt idx="16">
                  <c:v>4</c:v>
                </c:pt>
                <c:pt idx="17">
                  <c:v>4</c:v>
                </c:pt>
                <c:pt idx="18">
                  <c:v>3</c:v>
                </c:pt>
                <c:pt idx="19">
                  <c:v>3</c:v>
                </c:pt>
                <c:pt idx="20">
                  <c:v>3</c:v>
                </c:pt>
                <c:pt idx="21">
                  <c:v>3</c:v>
                </c:pt>
                <c:pt idx="22">
                  <c:v>4</c:v>
                </c:pt>
                <c:pt idx="23">
                  <c:v>4</c:v>
                </c:pt>
                <c:pt idx="24">
                  <c:v>4</c:v>
                </c:pt>
                <c:pt idx="25">
                  <c:v>4</c:v>
                </c:pt>
                <c:pt idx="26">
                  <c:v>3</c:v>
                </c:pt>
                <c:pt idx="27">
                  <c:v>3</c:v>
                </c:pt>
                <c:pt idx="28">
                  <c:v>3</c:v>
                </c:pt>
                <c:pt idx="29">
                  <c:v>3</c:v>
                </c:pt>
                <c:pt idx="30">
                  <c:v>2</c:v>
                </c:pt>
                <c:pt idx="31">
                  <c:v>2</c:v>
                </c:pt>
                <c:pt idx="32">
                  <c:v>2</c:v>
                </c:pt>
                <c:pt idx="33">
                  <c:v>2</c:v>
                </c:pt>
                <c:pt idx="34">
                  <c:v>3</c:v>
                </c:pt>
                <c:pt idx="35">
                  <c:v>3</c:v>
                </c:pt>
                <c:pt idx="36">
                  <c:v>3</c:v>
                </c:pt>
                <c:pt idx="37">
                  <c:v>3</c:v>
                </c:pt>
                <c:pt idx="38">
                  <c:v>3</c:v>
                </c:pt>
                <c:pt idx="39">
                  <c:v>3</c:v>
                </c:pt>
                <c:pt idx="40">
                  <c:v>3</c:v>
                </c:pt>
                <c:pt idx="41">
                  <c:v>3</c:v>
                </c:pt>
                <c:pt idx="42">
                  <c:v>3</c:v>
                </c:pt>
                <c:pt idx="43">
                  <c:v>3</c:v>
                </c:pt>
                <c:pt idx="44">
                  <c:v>4</c:v>
                </c:pt>
                <c:pt idx="45">
                  <c:v>4</c:v>
                </c:pt>
                <c:pt idx="46">
                  <c:v>3</c:v>
                </c:pt>
                <c:pt idx="47">
                  <c:v>3</c:v>
                </c:pt>
                <c:pt idx="48">
                  <c:v>3</c:v>
                </c:pt>
                <c:pt idx="49">
                  <c:v>3</c:v>
                </c:pt>
                <c:pt idx="50">
                  <c:v>3</c:v>
                </c:pt>
                <c:pt idx="51">
                  <c:v>3</c:v>
                </c:pt>
                <c:pt idx="52">
                  <c:v>3</c:v>
                </c:pt>
                <c:pt idx="53">
                  <c:v>3</c:v>
                </c:pt>
                <c:pt idx="54">
                  <c:v>3</c:v>
                </c:pt>
                <c:pt idx="55">
                  <c:v>3</c:v>
                </c:pt>
                <c:pt idx="56">
                  <c:v>3</c:v>
                </c:pt>
                <c:pt idx="57">
                  <c:v>3</c:v>
                </c:pt>
                <c:pt idx="58">
                  <c:v>3</c:v>
                </c:pt>
                <c:pt idx="59">
                  <c:v>3</c:v>
                </c:pt>
                <c:pt idx="60">
                  <c:v>3</c:v>
                </c:pt>
                <c:pt idx="61">
                  <c:v>3</c:v>
                </c:pt>
                <c:pt idx="62">
                  <c:v>3</c:v>
                </c:pt>
                <c:pt idx="63">
                  <c:v>3</c:v>
                </c:pt>
                <c:pt idx="64">
                  <c:v>3</c:v>
                </c:pt>
                <c:pt idx="65">
                  <c:v>3</c:v>
                </c:pt>
                <c:pt idx="66">
                  <c:v>3</c:v>
                </c:pt>
                <c:pt idx="67">
                  <c:v>3</c:v>
                </c:pt>
                <c:pt idx="68">
                  <c:v>3</c:v>
                </c:pt>
                <c:pt idx="69">
                  <c:v>3</c:v>
                </c:pt>
                <c:pt idx="70">
                  <c:v>2</c:v>
                </c:pt>
                <c:pt idx="71">
                  <c:v>2</c:v>
                </c:pt>
                <c:pt idx="72">
                  <c:v>3</c:v>
                </c:pt>
                <c:pt idx="73">
                  <c:v>3</c:v>
                </c:pt>
                <c:pt idx="74">
                  <c:v>2</c:v>
                </c:pt>
                <c:pt idx="75">
                  <c:v>2</c:v>
                </c:pt>
                <c:pt idx="76">
                  <c:v>3</c:v>
                </c:pt>
                <c:pt idx="77">
                  <c:v>3</c:v>
                </c:pt>
                <c:pt idx="78">
                  <c:v>3</c:v>
                </c:pt>
                <c:pt idx="79">
                  <c:v>3</c:v>
                </c:pt>
                <c:pt idx="80">
                  <c:v>3</c:v>
                </c:pt>
                <c:pt idx="81">
                  <c:v>3</c:v>
                </c:pt>
                <c:pt idx="82">
                  <c:v>2</c:v>
                </c:pt>
                <c:pt idx="83">
                  <c:v>2</c:v>
                </c:pt>
                <c:pt idx="84">
                  <c:v>3</c:v>
                </c:pt>
                <c:pt idx="85">
                  <c:v>3</c:v>
                </c:pt>
                <c:pt idx="86">
                  <c:v>3</c:v>
                </c:pt>
                <c:pt idx="87">
                  <c:v>3</c:v>
                </c:pt>
                <c:pt idx="88">
                  <c:v>3</c:v>
                </c:pt>
                <c:pt idx="89">
                  <c:v>3</c:v>
                </c:pt>
                <c:pt idx="90">
                  <c:v>5</c:v>
                </c:pt>
                <c:pt idx="91">
                  <c:v>5</c:v>
                </c:pt>
                <c:pt idx="92">
                  <c:v>3</c:v>
                </c:pt>
                <c:pt idx="93">
                  <c:v>3</c:v>
                </c:pt>
                <c:pt idx="94">
                  <c:v>1</c:v>
                </c:pt>
                <c:pt idx="95">
                  <c:v>1</c:v>
                </c:pt>
                <c:pt idx="96">
                  <c:v>3</c:v>
                </c:pt>
                <c:pt idx="97">
                  <c:v>3</c:v>
                </c:pt>
                <c:pt idx="98">
                  <c:v>3</c:v>
                </c:pt>
                <c:pt idx="99">
                  <c:v>3</c:v>
                </c:pt>
                <c:pt idx="100">
                  <c:v>4</c:v>
                </c:pt>
                <c:pt idx="101">
                  <c:v>4</c:v>
                </c:pt>
                <c:pt idx="102">
                  <c:v>3</c:v>
                </c:pt>
                <c:pt idx="103">
                  <c:v>3</c:v>
                </c:pt>
                <c:pt idx="104">
                  <c:v>3</c:v>
                </c:pt>
                <c:pt idx="105">
                  <c:v>3</c:v>
                </c:pt>
                <c:pt idx="106">
                  <c:v>3</c:v>
                </c:pt>
                <c:pt idx="107">
                  <c:v>3</c:v>
                </c:pt>
                <c:pt idx="108">
                  <c:v>4</c:v>
                </c:pt>
                <c:pt idx="109">
                  <c:v>4</c:v>
                </c:pt>
                <c:pt idx="110">
                  <c:v>3</c:v>
                </c:pt>
                <c:pt idx="111">
                  <c:v>3</c:v>
                </c:pt>
                <c:pt idx="112">
                  <c:v>3</c:v>
                </c:pt>
                <c:pt idx="113">
                  <c:v>3</c:v>
                </c:pt>
                <c:pt idx="114">
                  <c:v>3</c:v>
                </c:pt>
                <c:pt idx="115">
                  <c:v>3</c:v>
                </c:pt>
                <c:pt idx="116">
                  <c:v>3</c:v>
                </c:pt>
                <c:pt idx="117">
                  <c:v>3</c:v>
                </c:pt>
                <c:pt idx="118">
                  <c:v>2</c:v>
                </c:pt>
                <c:pt idx="119">
                  <c:v>2</c:v>
                </c:pt>
                <c:pt idx="120">
                  <c:v>4</c:v>
                </c:pt>
                <c:pt idx="121">
                  <c:v>4</c:v>
                </c:pt>
                <c:pt idx="122">
                  <c:v>3</c:v>
                </c:pt>
                <c:pt idx="123">
                  <c:v>3</c:v>
                </c:pt>
                <c:pt idx="124">
                  <c:v>4</c:v>
                </c:pt>
                <c:pt idx="125">
                  <c:v>4</c:v>
                </c:pt>
                <c:pt idx="126">
                  <c:v>3</c:v>
                </c:pt>
                <c:pt idx="127">
                  <c:v>3</c:v>
                </c:pt>
                <c:pt idx="128">
                  <c:v>3</c:v>
                </c:pt>
                <c:pt idx="129">
                  <c:v>3</c:v>
                </c:pt>
                <c:pt idx="130">
                  <c:v>3</c:v>
                </c:pt>
                <c:pt idx="131">
                  <c:v>3</c:v>
                </c:pt>
                <c:pt idx="132">
                  <c:v>3</c:v>
                </c:pt>
                <c:pt idx="133">
                  <c:v>3</c:v>
                </c:pt>
                <c:pt idx="134">
                  <c:v>3</c:v>
                </c:pt>
                <c:pt idx="135">
                  <c:v>3</c:v>
                </c:pt>
                <c:pt idx="136">
                  <c:v>3</c:v>
                </c:pt>
                <c:pt idx="137">
                  <c:v>3</c:v>
                </c:pt>
                <c:pt idx="138">
                  <c:v>3</c:v>
                </c:pt>
                <c:pt idx="139">
                  <c:v>3</c:v>
                </c:pt>
                <c:pt idx="140">
                  <c:v>3</c:v>
                </c:pt>
                <c:pt idx="141">
                  <c:v>3</c:v>
                </c:pt>
                <c:pt idx="142">
                  <c:v>3</c:v>
                </c:pt>
                <c:pt idx="143">
                  <c:v>3</c:v>
                </c:pt>
                <c:pt idx="144">
                  <c:v>3</c:v>
                </c:pt>
                <c:pt idx="145">
                  <c:v>3</c:v>
                </c:pt>
                <c:pt idx="146">
                  <c:v>3</c:v>
                </c:pt>
                <c:pt idx="147">
                  <c:v>3</c:v>
                </c:pt>
                <c:pt idx="148">
                  <c:v>3</c:v>
                </c:pt>
                <c:pt idx="149">
                  <c:v>3</c:v>
                </c:pt>
                <c:pt idx="150">
                  <c:v>3</c:v>
                </c:pt>
                <c:pt idx="151">
                  <c:v>3</c:v>
                </c:pt>
                <c:pt idx="152">
                  <c:v>5</c:v>
                </c:pt>
                <c:pt idx="153">
                  <c:v>5</c:v>
                </c:pt>
                <c:pt idx="154">
                  <c:v>4</c:v>
                </c:pt>
                <c:pt idx="155">
                  <c:v>4</c:v>
                </c:pt>
                <c:pt idx="156">
                  <c:v>2</c:v>
                </c:pt>
                <c:pt idx="157">
                  <c:v>2</c:v>
                </c:pt>
                <c:pt idx="158">
                  <c:v>3</c:v>
                </c:pt>
                <c:pt idx="159">
                  <c:v>3</c:v>
                </c:pt>
                <c:pt idx="160">
                  <c:v>3</c:v>
                </c:pt>
                <c:pt idx="161">
                  <c:v>3</c:v>
                </c:pt>
                <c:pt idx="162">
                  <c:v>3</c:v>
                </c:pt>
                <c:pt idx="163">
                  <c:v>4</c:v>
                </c:pt>
                <c:pt idx="164">
                  <c:v>4</c:v>
                </c:pt>
                <c:pt idx="165">
                  <c:v>1</c:v>
                </c:pt>
                <c:pt idx="166">
                  <c:v>1</c:v>
                </c:pt>
                <c:pt idx="167">
                  <c:v>3</c:v>
                </c:pt>
                <c:pt idx="168">
                  <c:v>3</c:v>
                </c:pt>
                <c:pt idx="169">
                  <c:v>3</c:v>
                </c:pt>
                <c:pt idx="170">
                  <c:v>3</c:v>
                </c:pt>
                <c:pt idx="171">
                  <c:v>3</c:v>
                </c:pt>
                <c:pt idx="172">
                  <c:v>3</c:v>
                </c:pt>
                <c:pt idx="173">
                  <c:v>2</c:v>
                </c:pt>
                <c:pt idx="174">
                  <c:v>2</c:v>
                </c:pt>
                <c:pt idx="175">
                  <c:v>3</c:v>
                </c:pt>
                <c:pt idx="176">
                  <c:v>3</c:v>
                </c:pt>
                <c:pt idx="177">
                  <c:v>3</c:v>
                </c:pt>
                <c:pt idx="178">
                  <c:v>3</c:v>
                </c:pt>
                <c:pt idx="179">
                  <c:v>3</c:v>
                </c:pt>
                <c:pt idx="180">
                  <c:v>3</c:v>
                </c:pt>
                <c:pt idx="181">
                  <c:v>3</c:v>
                </c:pt>
                <c:pt idx="182">
                  <c:v>3</c:v>
                </c:pt>
              </c:numCache>
            </c:numRef>
          </c:yVal>
          <c:smooth val="0"/>
          <c:extLst>
            <c:ext xmlns:c16="http://schemas.microsoft.com/office/drawing/2014/chart" uri="{C3380CC4-5D6E-409C-BE32-E72D297353CC}">
              <c16:uniqueId val="{00000000-F426-4A93-B6B1-A91B8410195E}"/>
            </c:ext>
          </c:extLst>
        </c:ser>
        <c:dLbls>
          <c:showLegendKey val="0"/>
          <c:showVal val="0"/>
          <c:showCatName val="0"/>
          <c:showSerName val="0"/>
          <c:showPercent val="0"/>
          <c:showBubbleSize val="0"/>
        </c:dLbls>
        <c:axId val="499087279"/>
        <c:axId val="499084399"/>
      </c:scatterChart>
      <c:valAx>
        <c:axId val="499087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084399"/>
        <c:crosses val="autoZero"/>
        <c:crossBetween val="midCat"/>
      </c:valAx>
      <c:valAx>
        <c:axId val="499084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0872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[blank-data-file.xlsx]Employee counts!Cumulative hiring by month</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Hired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'Employee counts'!$C$8</c:f>
              <c:strCache>
                <c:ptCount val="1"/>
                <c:pt idx="0">
                  <c:v>Total</c:v>
                </c:pt>
              </c:strCache>
            </c:strRef>
          </c:tx>
          <c:spPr>
            <a:ln w="28575" cap="rnd">
              <a:solidFill>
                <a:schemeClr val="accent1"/>
              </a:solidFill>
              <a:round/>
            </a:ln>
            <a:effectLst/>
          </c:spPr>
          <c:marker>
            <c:symbol val="none"/>
          </c:marker>
          <c:cat>
            <c:multiLvlStrRef>
              <c:f>'Employee counts'!$B$9:$B$45</c:f>
              <c:multiLvlStrCache>
                <c:ptCount val="32"/>
                <c:lvl>
                  <c:pt idx="0">
                    <c:v>May</c:v>
                  </c:pt>
                  <c:pt idx="1">
                    <c:v>Jun</c:v>
                  </c:pt>
                  <c:pt idx="2">
                    <c:v>Jul</c:v>
                  </c:pt>
                  <c:pt idx="3">
                    <c:v>Aug</c:v>
                  </c:pt>
                  <c:pt idx="4">
                    <c:v>Sep</c:v>
                  </c:pt>
                  <c:pt idx="5">
                    <c:v>Oct</c:v>
                  </c:pt>
                  <c:pt idx="6">
                    <c:v>Nov</c:v>
                  </c:pt>
                  <c:pt idx="7">
                    <c:v>Dec</c:v>
                  </c:pt>
                  <c:pt idx="8">
                    <c:v>Jan</c:v>
                  </c:pt>
                  <c:pt idx="9">
                    <c:v>Feb</c:v>
                  </c:pt>
                  <c:pt idx="10">
                    <c:v>Mar</c:v>
                  </c:pt>
                  <c:pt idx="11">
                    <c:v>Apr</c:v>
                  </c:pt>
                  <c:pt idx="12">
                    <c:v>May</c:v>
                  </c:pt>
                  <c:pt idx="13">
                    <c:v>Jun</c:v>
                  </c:pt>
                  <c:pt idx="14">
                    <c:v>Jul</c:v>
                  </c:pt>
                  <c:pt idx="15">
                    <c:v>Aug</c:v>
                  </c:pt>
                  <c:pt idx="16">
                    <c:v>Sep</c:v>
                  </c:pt>
                  <c:pt idx="17">
                    <c:v>Oct</c:v>
                  </c:pt>
                  <c:pt idx="18">
                    <c:v>Nov</c:v>
                  </c:pt>
                  <c:pt idx="19">
                    <c:v>Dec</c:v>
                  </c:pt>
                  <c:pt idx="20">
                    <c:v>Jan</c:v>
                  </c:pt>
                  <c:pt idx="21">
                    <c:v>Feb</c:v>
                  </c:pt>
                  <c:pt idx="22">
                    <c:v>Mar</c:v>
                  </c:pt>
                  <c:pt idx="23">
                    <c:v>Apr</c:v>
                  </c:pt>
                  <c:pt idx="24">
                    <c:v>May</c:v>
                  </c:pt>
                  <c:pt idx="25">
                    <c:v>Jun</c:v>
                  </c:pt>
                  <c:pt idx="26">
                    <c:v>Jul</c:v>
                  </c:pt>
                  <c:pt idx="27">
                    <c:v>Aug</c:v>
                  </c:pt>
                  <c:pt idx="28">
                    <c:v>Sep</c:v>
                  </c:pt>
                  <c:pt idx="29">
                    <c:v>Oct</c:v>
                  </c:pt>
                  <c:pt idx="30">
                    <c:v>Feb</c:v>
                  </c:pt>
                  <c:pt idx="31">
                    <c:v>Apr</c:v>
                  </c:pt>
                </c:lvl>
                <c:lvl>
                  <c:pt idx="0">
                    <c:v>2020</c:v>
                  </c:pt>
                  <c:pt idx="8">
                    <c:v>2021</c:v>
                  </c:pt>
                  <c:pt idx="20">
                    <c:v>2022</c:v>
                  </c:pt>
                  <c:pt idx="30">
                    <c:v>2023</c:v>
                  </c:pt>
                </c:lvl>
              </c:multiLvlStrCache>
            </c:multiLvlStrRef>
          </c:cat>
          <c:val>
            <c:numRef>
              <c:f>'Employee counts'!$C$9:$C$45</c:f>
              <c:numCache>
                <c:formatCode>General</c:formatCode>
                <c:ptCount val="32"/>
                <c:pt idx="0">
                  <c:v>3</c:v>
                </c:pt>
                <c:pt idx="1">
                  <c:v>4</c:v>
                </c:pt>
                <c:pt idx="2">
                  <c:v>9</c:v>
                </c:pt>
                <c:pt idx="3">
                  <c:v>12</c:v>
                </c:pt>
                <c:pt idx="4">
                  <c:v>18</c:v>
                </c:pt>
                <c:pt idx="5">
                  <c:v>24</c:v>
                </c:pt>
                <c:pt idx="6">
                  <c:v>30</c:v>
                </c:pt>
                <c:pt idx="7">
                  <c:v>37</c:v>
                </c:pt>
                <c:pt idx="8">
                  <c:v>6</c:v>
                </c:pt>
                <c:pt idx="9">
                  <c:v>10</c:v>
                </c:pt>
                <c:pt idx="10">
                  <c:v>19</c:v>
                </c:pt>
                <c:pt idx="11">
                  <c:v>24</c:v>
                </c:pt>
                <c:pt idx="12">
                  <c:v>34</c:v>
                </c:pt>
                <c:pt idx="13">
                  <c:v>40</c:v>
                </c:pt>
                <c:pt idx="14">
                  <c:v>53</c:v>
                </c:pt>
                <c:pt idx="15">
                  <c:v>57</c:v>
                </c:pt>
                <c:pt idx="16">
                  <c:v>68</c:v>
                </c:pt>
                <c:pt idx="17">
                  <c:v>71</c:v>
                </c:pt>
                <c:pt idx="18">
                  <c:v>75</c:v>
                </c:pt>
                <c:pt idx="19">
                  <c:v>82</c:v>
                </c:pt>
                <c:pt idx="20">
                  <c:v>3</c:v>
                </c:pt>
                <c:pt idx="21">
                  <c:v>13</c:v>
                </c:pt>
                <c:pt idx="22">
                  <c:v>22</c:v>
                </c:pt>
                <c:pt idx="23">
                  <c:v>31</c:v>
                </c:pt>
                <c:pt idx="24">
                  <c:v>40</c:v>
                </c:pt>
                <c:pt idx="25">
                  <c:v>47</c:v>
                </c:pt>
                <c:pt idx="26">
                  <c:v>52</c:v>
                </c:pt>
                <c:pt idx="27">
                  <c:v>57</c:v>
                </c:pt>
                <c:pt idx="28">
                  <c:v>59</c:v>
                </c:pt>
                <c:pt idx="29">
                  <c:v>62</c:v>
                </c:pt>
                <c:pt idx="30">
                  <c:v>1</c:v>
                </c:pt>
                <c:pt idx="31">
                  <c:v>2</c:v>
                </c:pt>
              </c:numCache>
            </c:numRef>
          </c:val>
          <c:smooth val="0"/>
          <c:extLst>
            <c:ext xmlns:c16="http://schemas.microsoft.com/office/drawing/2014/chart" uri="{C3380CC4-5D6E-409C-BE32-E72D297353CC}">
              <c16:uniqueId val="{00000000-FD83-4DC5-A56A-65BEEDB9EFC2}"/>
            </c:ext>
          </c:extLst>
        </c:ser>
        <c:dLbls>
          <c:showLegendKey val="0"/>
          <c:showVal val="0"/>
          <c:showCatName val="0"/>
          <c:showSerName val="0"/>
          <c:showPercent val="0"/>
          <c:showBubbleSize val="0"/>
        </c:dLbls>
        <c:smooth val="0"/>
        <c:axId val="812821391"/>
        <c:axId val="812821871"/>
      </c:lineChart>
      <c:catAx>
        <c:axId val="81282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821871"/>
        <c:crosses val="autoZero"/>
        <c:auto val="1"/>
        <c:lblAlgn val="ctr"/>
        <c:lblOffset val="100"/>
        <c:noMultiLvlLbl val="0"/>
      </c:catAx>
      <c:valAx>
        <c:axId val="812821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821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Count Progression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'Employee counts'!$T$2</c:f>
              <c:strCache>
                <c:ptCount val="1"/>
                <c:pt idx="0">
                  <c:v>Running Total</c:v>
                </c:pt>
              </c:strCache>
            </c:strRef>
          </c:tx>
          <c:spPr>
            <a:ln w="28575" cap="rnd">
              <a:solidFill>
                <a:schemeClr val="accent1"/>
              </a:solidFill>
              <a:round/>
            </a:ln>
            <a:effectLst/>
          </c:spPr>
          <c:marker>
            <c:symbol val="none"/>
          </c:marker>
          <c:val>
            <c:numRef>
              <c:f>'Employee counts'!$T$3:$T$38</c:f>
              <c:numCache>
                <c:formatCode>General</c:formatCode>
                <c:ptCount val="36"/>
                <c:pt idx="0">
                  <c:v>3</c:v>
                </c:pt>
                <c:pt idx="1">
                  <c:v>4</c:v>
                </c:pt>
                <c:pt idx="2">
                  <c:v>9</c:v>
                </c:pt>
                <c:pt idx="3">
                  <c:v>12</c:v>
                </c:pt>
                <c:pt idx="4">
                  <c:v>18</c:v>
                </c:pt>
                <c:pt idx="5">
                  <c:v>24</c:v>
                </c:pt>
                <c:pt idx="6">
                  <c:v>30</c:v>
                </c:pt>
                <c:pt idx="7">
                  <c:v>37</c:v>
                </c:pt>
                <c:pt idx="8">
                  <c:v>43</c:v>
                </c:pt>
                <c:pt idx="9">
                  <c:v>47</c:v>
                </c:pt>
                <c:pt idx="10">
                  <c:v>56</c:v>
                </c:pt>
                <c:pt idx="11">
                  <c:v>61</c:v>
                </c:pt>
                <c:pt idx="12">
                  <c:v>71</c:v>
                </c:pt>
                <c:pt idx="13">
                  <c:v>77</c:v>
                </c:pt>
                <c:pt idx="14">
                  <c:v>90</c:v>
                </c:pt>
                <c:pt idx="15">
                  <c:v>94</c:v>
                </c:pt>
                <c:pt idx="16">
                  <c:v>105</c:v>
                </c:pt>
                <c:pt idx="17">
                  <c:v>108</c:v>
                </c:pt>
                <c:pt idx="18">
                  <c:v>112</c:v>
                </c:pt>
                <c:pt idx="19">
                  <c:v>119</c:v>
                </c:pt>
                <c:pt idx="20">
                  <c:v>122</c:v>
                </c:pt>
                <c:pt idx="21">
                  <c:v>132</c:v>
                </c:pt>
                <c:pt idx="22">
                  <c:v>141</c:v>
                </c:pt>
                <c:pt idx="23">
                  <c:v>150</c:v>
                </c:pt>
                <c:pt idx="24">
                  <c:v>159</c:v>
                </c:pt>
                <c:pt idx="25">
                  <c:v>166</c:v>
                </c:pt>
                <c:pt idx="26">
                  <c:v>171</c:v>
                </c:pt>
                <c:pt idx="27">
                  <c:v>176</c:v>
                </c:pt>
                <c:pt idx="28">
                  <c:v>178</c:v>
                </c:pt>
                <c:pt idx="29">
                  <c:v>181</c:v>
                </c:pt>
                <c:pt idx="30">
                  <c:v>181</c:v>
                </c:pt>
                <c:pt idx="31">
                  <c:v>181</c:v>
                </c:pt>
                <c:pt idx="32">
                  <c:v>181</c:v>
                </c:pt>
                <c:pt idx="33">
                  <c:v>182</c:v>
                </c:pt>
                <c:pt idx="34">
                  <c:v>182</c:v>
                </c:pt>
                <c:pt idx="35">
                  <c:v>183</c:v>
                </c:pt>
              </c:numCache>
            </c:numRef>
          </c:val>
          <c:smooth val="0"/>
          <c:extLst>
            <c:ext xmlns:c16="http://schemas.microsoft.com/office/drawing/2014/chart" uri="{C3380CC4-5D6E-409C-BE32-E72D297353CC}">
              <c16:uniqueId val="{00000000-08EA-4821-961E-301A7FDDDAA0}"/>
            </c:ext>
          </c:extLst>
        </c:ser>
        <c:dLbls>
          <c:showLegendKey val="0"/>
          <c:showVal val="0"/>
          <c:showCatName val="0"/>
          <c:showSerName val="0"/>
          <c:showPercent val="0"/>
          <c:showBubbleSize val="0"/>
        </c:dLbls>
        <c:smooth val="0"/>
        <c:axId val="815884495"/>
        <c:axId val="815883535"/>
      </c:lineChart>
      <c:catAx>
        <c:axId val="81588449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883535"/>
        <c:crosses val="autoZero"/>
        <c:auto val="1"/>
        <c:lblAlgn val="ctr"/>
        <c:lblOffset val="100"/>
        <c:noMultiLvlLbl val="0"/>
      </c:catAx>
      <c:valAx>
        <c:axId val="815883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88449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[blank-data-file.xlsx]IND vs NZ pivots!PivotTable1</c:name>
    <c:fmtId val="9"/>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latin typeface="+mn-lt"/>
                <a:ea typeface="+mn-ea"/>
                <a:cs typeface="+mn-cs"/>
              </a:rPr>
              <a:t>Employee Counts by Department</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95523538233834"/>
          <c:y val="0.20947183927590446"/>
          <c:w val="0.78679085198472276"/>
          <c:h val="0.7329423356964101"/>
        </c:manualLayout>
      </c:layout>
      <c:barChart>
        <c:barDir val="bar"/>
        <c:grouping val="clustered"/>
        <c:varyColors val="0"/>
        <c:ser>
          <c:idx val="0"/>
          <c:order val="0"/>
          <c:tx>
            <c:strRef>
              <c:f>'IND vs NZ pivots'!$C$6</c:f>
              <c:strCache>
                <c:ptCount val="1"/>
                <c:pt idx="0">
                  <c:v>Total</c:v>
                </c:pt>
              </c:strCache>
            </c:strRef>
          </c:tx>
          <c:spPr>
            <a:solidFill>
              <a:schemeClr val="accent2"/>
            </a:solidFill>
            <a:ln>
              <a:noFill/>
            </a:ln>
            <a:effectLst/>
          </c:spPr>
          <c:invertIfNegative val="0"/>
          <c:cat>
            <c:strRef>
              <c:f>'IND vs NZ pivots'!$B$7:$B$12</c:f>
              <c:strCache>
                <c:ptCount val="5"/>
                <c:pt idx="0">
                  <c:v>Procurement</c:v>
                </c:pt>
                <c:pt idx="1">
                  <c:v>Website</c:v>
                </c:pt>
                <c:pt idx="2">
                  <c:v>Finance</c:v>
                </c:pt>
                <c:pt idx="3">
                  <c:v>Sales</c:v>
                </c:pt>
                <c:pt idx="4">
                  <c:v>HR</c:v>
                </c:pt>
              </c:strCache>
            </c:strRef>
          </c:cat>
          <c:val>
            <c:numRef>
              <c:f>'IND vs NZ pivots'!$C$7:$C$12</c:f>
              <c:numCache>
                <c:formatCode>General</c:formatCode>
                <c:ptCount val="5"/>
                <c:pt idx="0">
                  <c:v>28</c:v>
                </c:pt>
                <c:pt idx="1">
                  <c:v>27</c:v>
                </c:pt>
                <c:pt idx="2">
                  <c:v>19</c:v>
                </c:pt>
                <c:pt idx="3">
                  <c:v>14</c:v>
                </c:pt>
                <c:pt idx="4">
                  <c:v>4</c:v>
                </c:pt>
              </c:numCache>
            </c:numRef>
          </c:val>
          <c:extLst>
            <c:ext xmlns:c16="http://schemas.microsoft.com/office/drawing/2014/chart" uri="{C3380CC4-5D6E-409C-BE32-E72D297353CC}">
              <c16:uniqueId val="{00000000-BFA2-4799-A108-D3444A16441C}"/>
            </c:ext>
          </c:extLst>
        </c:ser>
        <c:dLbls>
          <c:showLegendKey val="0"/>
          <c:showVal val="0"/>
          <c:showCatName val="0"/>
          <c:showSerName val="0"/>
          <c:showPercent val="0"/>
          <c:showBubbleSize val="0"/>
        </c:dLbls>
        <c:gapWidth val="40"/>
        <c:axId val="1418757376"/>
        <c:axId val="1414888928"/>
      </c:barChart>
      <c:catAx>
        <c:axId val="14187573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888928"/>
        <c:crosses val="autoZero"/>
        <c:auto val="1"/>
        <c:lblAlgn val="ctr"/>
        <c:lblOffset val="100"/>
        <c:noMultiLvlLbl val="0"/>
      </c:catAx>
      <c:valAx>
        <c:axId val="141488892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75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[blank-data-file.xlsx]IND vs NZ pivots!PivotTable2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Counts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'IND vs NZ pivots'!$F$6</c:f>
              <c:strCache>
                <c:ptCount val="1"/>
                <c:pt idx="0">
                  <c:v>Total</c:v>
                </c:pt>
              </c:strCache>
            </c:strRef>
          </c:tx>
          <c:spPr>
            <a:solidFill>
              <a:schemeClr val="accent1"/>
            </a:solidFill>
            <a:ln>
              <a:noFill/>
            </a:ln>
            <a:effectLst/>
          </c:spPr>
          <c:invertIfNegative val="0"/>
          <c:cat>
            <c:strRef>
              <c:f>'IND vs NZ pivots'!$E$7:$E$12</c:f>
              <c:strCache>
                <c:ptCount val="5"/>
                <c:pt idx="0">
                  <c:v>Website</c:v>
                </c:pt>
                <c:pt idx="1">
                  <c:v>Procurement</c:v>
                </c:pt>
                <c:pt idx="2">
                  <c:v>Finance</c:v>
                </c:pt>
                <c:pt idx="3">
                  <c:v>Sales</c:v>
                </c:pt>
                <c:pt idx="4">
                  <c:v>HR</c:v>
                </c:pt>
              </c:strCache>
            </c:strRef>
          </c:cat>
          <c:val>
            <c:numRef>
              <c:f>'IND vs NZ pivots'!$F$7:$F$12</c:f>
              <c:numCache>
                <c:formatCode>General</c:formatCode>
                <c:ptCount val="5"/>
                <c:pt idx="0">
                  <c:v>27</c:v>
                </c:pt>
                <c:pt idx="1">
                  <c:v>27</c:v>
                </c:pt>
                <c:pt idx="2">
                  <c:v>19</c:v>
                </c:pt>
                <c:pt idx="3">
                  <c:v>14</c:v>
                </c:pt>
                <c:pt idx="4">
                  <c:v>4</c:v>
                </c:pt>
              </c:numCache>
            </c:numRef>
          </c:val>
          <c:extLst>
            <c:ext xmlns:c16="http://schemas.microsoft.com/office/drawing/2014/chart" uri="{C3380CC4-5D6E-409C-BE32-E72D297353CC}">
              <c16:uniqueId val="{00000000-A6BF-4C0B-ADD1-7018DD92A426}"/>
            </c:ext>
          </c:extLst>
        </c:ser>
        <c:dLbls>
          <c:showLegendKey val="0"/>
          <c:showVal val="0"/>
          <c:showCatName val="0"/>
          <c:showSerName val="0"/>
          <c:showPercent val="0"/>
          <c:showBubbleSize val="0"/>
        </c:dLbls>
        <c:gapWidth val="40"/>
        <c:axId val="1415395280"/>
        <c:axId val="1415396720"/>
      </c:barChart>
      <c:catAx>
        <c:axId val="14153952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396720"/>
        <c:crosses val="autoZero"/>
        <c:auto val="1"/>
        <c:lblAlgn val="ctr"/>
        <c:lblOffset val="100"/>
        <c:noMultiLvlLbl val="0"/>
      </c:catAx>
      <c:valAx>
        <c:axId val="1415396720"/>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39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Salary Spread - By 10k</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Salary Spread - By 10k</a:t>
          </a:r>
        </a:p>
      </cx:txPr>
    </cx:title>
    <cx:plotArea>
      <cx:plotAreaRegion>
        <cx:series layoutId="clusteredColumn" uniqueId="{B7DFAFBD-DAFD-4CA0-9753-AFE5F9EDCA11}">
          <cx:tx>
            <cx:txData>
              <cx:f>_xlchart.v1.0</cx:f>
              <cx:v>Salary</cx:v>
            </cx:txData>
          </cx:tx>
          <cx:dataId val="0"/>
          <cx:layoutPr>
            <cx:binning intervalClosed="r" underflow="40000">
              <cx:binSize val="10000"/>
            </cx:binning>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Salary Spread - Box Plot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Salary Spread - Box Plot</a:t>
          </a:r>
        </a:p>
      </cx:txPr>
    </cx:title>
    <cx:plotArea>
      <cx:plotAreaRegion>
        <cx:series layoutId="boxWhisker" uniqueId="{5308A8DC-930D-471D-953A-EF326242B9C2}">
          <cx:dataId val="0"/>
          <cx:layoutPr>
            <cx:visibility meanLine="1"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youtu.be/H6k28jhclwI" TargetMode="Externa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4</xdr:row>
      <xdr:rowOff>0</xdr:rowOff>
    </xdr:from>
    <xdr:to>
      <xdr:col>16</xdr:col>
      <xdr:colOff>6350</xdr:colOff>
      <xdr:row>11</xdr:row>
      <xdr:rowOff>41055</xdr:rowOff>
    </xdr:to>
    <xdr:pic>
      <xdr:nvPicPr>
        <xdr:cNvPr id="2" name="Picture 1">
          <a:hlinkClick xmlns:r="http://schemas.openxmlformats.org/officeDocument/2006/relationships" r:id="rId1"/>
          <a:extLst>
            <a:ext uri="{FF2B5EF4-FFF2-40B4-BE49-F238E27FC236}">
              <a16:creationId xmlns:a16="http://schemas.microsoft.com/office/drawing/2014/main" id="{57E6FE93-84F3-45D7-B277-295969E51D3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524625" y="1238250"/>
          <a:ext cx="2444750" cy="1374555"/>
        </a:xfrm>
        <a:prstGeom prst="rect">
          <a:avLst/>
        </a:prstGeom>
        <a:ln>
          <a:solidFill>
            <a:schemeClr val="tx1"/>
          </a:solidFill>
        </a:ln>
      </xdr:spPr>
    </xdr:pic>
    <xdr:clientData/>
  </xdr:twoCellAnchor>
  <xdr:twoCellAnchor>
    <xdr:from>
      <xdr:col>12</xdr:col>
      <xdr:colOff>548508</xdr:colOff>
      <xdr:row>10</xdr:row>
      <xdr:rowOff>124811</xdr:rowOff>
    </xdr:from>
    <xdr:to>
      <xdr:col>15</xdr:col>
      <xdr:colOff>67167</xdr:colOff>
      <xdr:row>12</xdr:row>
      <xdr:rowOff>19707</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FB0C10A5-873E-49A5-819F-85042883FE66}"/>
            </a:ext>
          </a:extLst>
        </xdr:cNvPr>
        <xdr:cNvSpPr/>
      </xdr:nvSpPr>
      <xdr:spPr>
        <a:xfrm>
          <a:off x="7073133" y="2506061"/>
          <a:ext cx="1347459" cy="275896"/>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a:latin typeface="Roboto" panose="02000000000000000000" pitchFamily="2" charset="0"/>
              <a:ea typeface="Roboto" panose="02000000000000000000" pitchFamily="2" charset="0"/>
            </a:rPr>
            <a:t>Watch the video</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133349</xdr:colOff>
      <xdr:row>8</xdr:row>
      <xdr:rowOff>152400</xdr:rowOff>
    </xdr:from>
    <xdr:to>
      <xdr:col>6</xdr:col>
      <xdr:colOff>600074</xdr:colOff>
      <xdr:row>25</xdr:row>
      <xdr:rowOff>57150</xdr:rowOff>
    </xdr:to>
    <xdr:graphicFrame macro="">
      <xdr:nvGraphicFramePr>
        <xdr:cNvPr id="2" name="Chart 1">
          <a:extLst>
            <a:ext uri="{FF2B5EF4-FFF2-40B4-BE49-F238E27FC236}">
              <a16:creationId xmlns:a16="http://schemas.microsoft.com/office/drawing/2014/main" id="{EC281E42-BBAC-493F-A708-F8C199BABA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133350</xdr:colOff>
      <xdr:row>7</xdr:row>
      <xdr:rowOff>23812</xdr:rowOff>
    </xdr:from>
    <xdr:to>
      <xdr:col>12</xdr:col>
      <xdr:colOff>514349</xdr:colOff>
      <xdr:row>21</xdr:row>
      <xdr:rowOff>100012</xdr:rowOff>
    </xdr:to>
    <xdr:graphicFrame macro="">
      <xdr:nvGraphicFramePr>
        <xdr:cNvPr id="4" name="Chart 3">
          <a:extLst>
            <a:ext uri="{FF2B5EF4-FFF2-40B4-BE49-F238E27FC236}">
              <a16:creationId xmlns:a16="http://schemas.microsoft.com/office/drawing/2014/main" id="{063EA113-BF9E-5DD4-943E-42E3043A7D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533399</xdr:colOff>
      <xdr:row>22</xdr:row>
      <xdr:rowOff>33337</xdr:rowOff>
    </xdr:from>
    <xdr:to>
      <xdr:col>12</xdr:col>
      <xdr:colOff>209549</xdr:colOff>
      <xdr:row>36</xdr:row>
      <xdr:rowOff>109537</xdr:rowOff>
    </xdr:to>
    <xdr:graphicFrame macro="">
      <xdr:nvGraphicFramePr>
        <xdr:cNvPr id="5" name="Chart 4">
          <a:extLst>
            <a:ext uri="{FF2B5EF4-FFF2-40B4-BE49-F238E27FC236}">
              <a16:creationId xmlns:a16="http://schemas.microsoft.com/office/drawing/2014/main" id="{8EE401E4-2D55-2457-0794-81610F0FE6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38100</xdr:colOff>
      <xdr:row>2</xdr:row>
      <xdr:rowOff>180976</xdr:rowOff>
    </xdr:from>
    <xdr:to>
      <xdr:col>6</xdr:col>
      <xdr:colOff>190500</xdr:colOff>
      <xdr:row>8</xdr:row>
      <xdr:rowOff>161926</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3D81BADF-E7F5-2583-689B-A549978A294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581400" y="561976"/>
              <a:ext cx="1752600" cy="11239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10</xdr:col>
      <xdr:colOff>1</xdr:colOff>
      <xdr:row>7</xdr:row>
      <xdr:rowOff>0</xdr:rowOff>
    </xdr:from>
    <xdr:to>
      <xdr:col>15</xdr:col>
      <xdr:colOff>9525</xdr:colOff>
      <xdr:row>26</xdr:row>
      <xdr:rowOff>0</xdr:rowOff>
    </xdr:to>
    <xdr:graphicFrame macro="">
      <xdr:nvGraphicFramePr>
        <xdr:cNvPr id="2" name="Chart 1">
          <a:extLst>
            <a:ext uri="{FF2B5EF4-FFF2-40B4-BE49-F238E27FC236}">
              <a16:creationId xmlns:a16="http://schemas.microsoft.com/office/drawing/2014/main" id="{A84EAFB1-5397-452B-98B5-A9334DE82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600075</xdr:colOff>
      <xdr:row>7</xdr:row>
      <xdr:rowOff>0</xdr:rowOff>
    </xdr:from>
    <xdr:to>
      <xdr:col>7</xdr:col>
      <xdr:colOff>0</xdr:colOff>
      <xdr:row>26</xdr:row>
      <xdr:rowOff>0</xdr:rowOff>
    </xdr:to>
    <xdr:graphicFrame macro="">
      <xdr:nvGraphicFramePr>
        <xdr:cNvPr id="3" name="Chart 2">
          <a:extLst>
            <a:ext uri="{FF2B5EF4-FFF2-40B4-BE49-F238E27FC236}">
              <a16:creationId xmlns:a16="http://schemas.microsoft.com/office/drawing/2014/main" id="{3673A8C4-90A1-45AC-9185-420E90187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600075</xdr:colOff>
      <xdr:row>1</xdr:row>
      <xdr:rowOff>0</xdr:rowOff>
    </xdr:from>
    <xdr:to>
      <xdr:col>12</xdr:col>
      <xdr:colOff>65555</xdr:colOff>
      <xdr:row>18</xdr:row>
      <xdr:rowOff>176213</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4CA2E23-4496-446A-BB0B-86FEF9F321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0075" y="190500"/>
              <a:ext cx="6780680" cy="341471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0</xdr:colOff>
      <xdr:row>19</xdr:row>
      <xdr:rowOff>190499</xdr:rowOff>
    </xdr:from>
    <xdr:to>
      <xdr:col>8</xdr:col>
      <xdr:colOff>304800</xdr:colOff>
      <xdr:row>42</xdr:row>
      <xdr:rowOff>28575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E91F6F3C-783A-42A1-A5AF-5D27EF51B6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09600" y="3809999"/>
              <a:ext cx="4572000" cy="4219576"/>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uel Thickpenny Ryan" refreshedDate="45997.725455671294" createdVersion="8" refreshedVersion="8" minRefreshableVersion="3" recordCount="183" xr:uid="{B0867FFC-0D6C-42D7-B1A9-0C4D67183A19}">
  <cacheSource type="worksheet">
    <worksheetSource name="staff"/>
  </cacheSource>
  <cacheFields count="11">
    <cacheField name="Name" numFmtId="0">
      <sharedItems/>
    </cacheField>
    <cacheField name="Gender" numFmtId="0">
      <sharedItems/>
    </cacheField>
    <cacheField name="Age" numFmtId="0">
      <sharedItems containsSemiMixedTypes="0" containsString="0" containsNumber="1" containsInteger="1" minValue="19" maxValue="46"/>
    </cacheField>
    <cacheField name="Rating" numFmtId="0">
      <sharedItems count="5">
        <s v="Average"/>
        <s v="Very poor"/>
        <s v="Above average"/>
        <s v="Poor"/>
        <s v="Exceptional"/>
      </sharedItems>
    </cacheField>
    <cacheField name="Date Joined" numFmtId="14">
      <sharedItems containsSemiMixedTypes="0" containsNonDate="0" containsDate="1" containsString="0" minDate="2020-05-07T00:00:00" maxDate="2023-04-30T00:00:00"/>
    </cacheField>
    <cacheField name="Department" numFmtId="0">
      <sharedItems/>
    </cacheField>
    <cacheField name="Salary" numFmtId="164">
      <sharedItems containsSemiMixedTypes="0" containsString="0" containsNumber="1" containsInteger="1" minValue="33920" maxValue="119110" count="90">
        <n v="33920"/>
        <n v="34980"/>
        <n v="36040"/>
        <n v="37920"/>
        <n v="40400"/>
        <n v="41570"/>
        <n v="41980"/>
        <n v="43510"/>
        <n v="43840"/>
        <n v="45510"/>
        <n v="47360"/>
        <n v="48170"/>
        <n v="48530"/>
        <n v="48950"/>
        <n v="48980"/>
        <n v="49630"/>
        <n v="52610"/>
        <n v="53240"/>
        <n v="53540"/>
        <n v="53870"/>
        <n v="54970"/>
        <n v="56870"/>
        <n v="57090"/>
        <n v="58100"/>
        <n v="58940"/>
        <n v="58960"/>
        <n v="59430"/>
        <n v="60130"/>
        <n v="60570"/>
        <n v="62780"/>
        <n v="64000"/>
        <n v="65360"/>
        <n v="65700"/>
        <n v="65920"/>
        <n v="67910"/>
        <n v="67950"/>
        <n v="68900"/>
        <n v="69070"/>
        <n v="69120"/>
        <n v="69710"/>
        <n v="70270"/>
        <n v="70610"/>
        <n v="71380"/>
        <n v="74550"/>
        <n v="75000"/>
        <n v="75280"/>
        <n v="75480"/>
        <n v="75880"/>
        <n v="75970"/>
        <n v="76900"/>
        <n v="78390"/>
        <n v="78540"/>
        <n v="79570"/>
        <n v="80700"/>
        <n v="83750"/>
        <n v="85000"/>
        <n v="86570"/>
        <n v="87620"/>
        <n v="88050"/>
        <n v="90700"/>
        <n v="91310"/>
        <n v="91650"/>
        <n v="92450"/>
        <n v="92700"/>
        <n v="96140"/>
        <n v="96800"/>
        <n v="99750"/>
        <n v="99970"/>
        <n v="100420"/>
        <n v="103550"/>
        <n v="104120"/>
        <n v="104410"/>
        <n v="104770"/>
        <n v="106460"/>
        <n v="107700"/>
        <n v="109160"/>
        <n v="109190"/>
        <n v="112110"/>
        <n v="112570"/>
        <n v="112650"/>
        <n v="112780"/>
        <n v="113280"/>
        <n v="114180"/>
        <n v="114870"/>
        <n v="114890"/>
        <n v="115440"/>
        <n v="115920"/>
        <n v="118100"/>
        <n v="118840"/>
        <n v="119110"/>
      </sharedItems>
    </cacheField>
    <cacheField name="Country" numFmtId="0">
      <sharedItems/>
    </cacheField>
    <cacheField name="Tenure" numFmtId="2">
      <sharedItems containsSemiMixedTypes="0" containsString="0" containsNumber="1" minValue="2.6082191780821917" maxValue="5.5863013698630137"/>
    </cacheField>
    <cacheField name="Bonus" numFmtId="166">
      <sharedItems containsSemiMixedTypes="0" containsString="0" containsNumber="1" containsInteger="1" minValue="1018" maxValue="3574"/>
    </cacheField>
    <cacheField name="Column1"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Thickpenny Ryan" refreshedDate="45998.595823842596" backgroundQuery="1" createdVersion="8" refreshedVersion="8" minRefreshableVersion="3" recordCount="0" supportSubquery="1" supportAdvancedDrill="1" xr:uid="{F43B0D3B-7431-4239-9DE4-CF53D4C221DF}">
  <cacheSource type="external" connectionId="4"/>
  <cacheFields count="6">
    <cacheField name="[staff].[Gender].[Gender]" caption="Gender" numFmtId="0" hierarchy="1" level="1">
      <sharedItems count="2">
        <s v="Female"/>
        <s v="Male"/>
      </sharedItems>
    </cacheField>
    <cacheField name="[Measures].[Count of Name]" caption="Count of Name" numFmtId="0" hierarchy="18" level="32767"/>
    <cacheField name="[Measures].[Average of Age]" caption="Average of Age" numFmtId="0" hierarchy="19" level="32767"/>
    <cacheField name="[Measures].[Average of Salary]" caption="Average of Salary" numFmtId="0" hierarchy="20" level="32767"/>
    <cacheField name="[Measures].[Average of Tenure]" caption="Average of Tenure" numFmtId="0" hierarchy="22" level="32767"/>
    <cacheField name="[staff].[Country].[Country]" caption="Country" numFmtId="0" hierarchy="7" level="1">
      <sharedItems containsSemiMixedTypes="0" containsNonDate="0" containsString="0"/>
    </cacheField>
  </cacheFields>
  <cacheHierarchies count="23">
    <cacheHierarchy uniqueName="[staff].[Name]" caption="Name" attribute="1" defaultMemberUniqueName="[staff].[Name].[All]" allUniqueName="[staff].[Name].[All]" dimensionUniqueName="[staff]" displayFolder="" count="0" memberValueDatatype="130" unbalanced="0"/>
    <cacheHierarchy uniqueName="[staff].[Gender]" caption="Gender" attribute="1" defaultMemberUniqueName="[staff].[Gender].[All]" allUniqueName="[staff].[Gender].[All]" dimensionUniqueName="[staff]" displayFolder="" count="2" memberValueDatatype="130" unbalanced="0">
      <fieldsUsage count="2">
        <fieldUsage x="-1"/>
        <fieldUsage x="0"/>
      </fieldsUsage>
    </cacheHierarchy>
    <cacheHierarchy uniqueName="[staff].[Age]" caption="Age" attribute="1" defaultMemberUniqueName="[staff].[Age].[All]" allUniqueName="[staff].[Age].[All]" dimensionUniqueName="[staff]" displayFolder="" count="0" memberValueDatatype="20" unbalanced="0"/>
    <cacheHierarchy uniqueName="[staff].[Rating]" caption="Rating" attribute="1" defaultMemberUniqueName="[staff].[Rating].[All]" allUniqueName="[staff].[Rating].[All]" dimensionUniqueName="[staff]" displayFolder="" count="0" memberValueDatatype="130" unbalanced="0"/>
    <cacheHierarchy uniqueName="[staff].[Date Joined]" caption="Date Joined" attribute="1" time="1" defaultMemberUniqueName="[staff].[Date Joined].[All]" allUniqueName="[staff].[Date Joined].[All]" dimensionUniqueName="[staff]" displayFolder="" count="0" memberValueDatatype="7" unbalanced="0"/>
    <cacheHierarchy uniqueName="[staff].[Department]" caption="Department" attribute="1" defaultMemberUniqueName="[staff].[Department].[All]" allUniqueName="[staff].[Department].[All]" dimensionUniqueName="[staff]" displayFolder="" count="0" memberValueDatatype="130" unbalanced="0"/>
    <cacheHierarchy uniqueName="[staff].[Salary]" caption="Salary" attribute="1" defaultMemberUniqueName="[staff].[Salary].[All]" allUniqueName="[staff].[Salary].[All]" dimensionUniqueName="[staff]" displayFolder="" count="0" memberValueDatatype="20" unbalanced="0"/>
    <cacheHierarchy uniqueName="[staff].[Country]" caption="Country" attribute="1" defaultMemberUniqueName="[staff].[Country].[All]" allUniqueName="[staff].[Country].[All]" dimensionUniqueName="[staff]" displayFolder="" count="2" memberValueDatatype="130" unbalanced="0">
      <fieldsUsage count="2">
        <fieldUsage x="-1"/>
        <fieldUsage x="5"/>
      </fieldsUsage>
    </cacheHierarchy>
    <cacheHierarchy uniqueName="[staff].[Tenure]" caption="Tenure" attribute="1" defaultMemberUniqueName="[staff].[Tenure].[All]" allUniqueName="[staff].[Tenure].[All]" dimensionUniqueName="[staff]" displayFolder="" count="0" memberValueDatatype="5" unbalanced="0"/>
    <cacheHierarchy uniqueName="[staff].[Date Joined (Year)]" caption="Date Joined (Year)" attribute="1" defaultMemberUniqueName="[staff].[Date Joined (Year)].[All]" allUniqueName="[staff].[Date Joined (Year)].[All]" dimensionUniqueName="[staff]" displayFolder="" count="0" memberValueDatatype="130" unbalanced="0"/>
    <cacheHierarchy uniqueName="[staff].[Date Joined (Quarter)]" caption="Date Joined (Quarter)" attribute="1" defaultMemberUniqueName="[staff].[Date Joined (Quarter)].[All]" allUniqueName="[staff].[Date Joined (Quarter)].[All]" dimensionUniqueName="[staff]" displayFolder="" count="0" memberValueDatatype="130" unbalanced="0"/>
    <cacheHierarchy uniqueName="[staff].[Date Joined (Month)]" caption="Date Joined (Month)" attribute="1" defaultMemberUniqueName="[staff].[Date Joined (Month)].[All]" allUniqueName="[staff].[Date Joined (Month)].[All]" dimensionUniqueName="[staff]" displayFolder="" count="0" memberValueDatatype="130" unbalanced="0"/>
    <cacheHierarchy uniqueName="[staff].[Date Joined (Month Index)]" caption="Date Joined (Month Index)" attribute="1" defaultMemberUniqueName="[staff].[Date Joined (Month Index)].[All]" allUniqueName="[staff].[Date Joined (Month Index)].[All]" dimensionUniqueName="[staff]" displayFolder="" count="0" memberValueDatatype="20" unbalanced="0" hidden="1"/>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Sum of Salary]" caption="Sum of Salary" measure="1" displayFolder="" measureGroup="staff"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staff"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staff" count="0" hidden="1">
      <extLst>
        <ext xmlns:x15="http://schemas.microsoft.com/office/spreadsheetml/2010/11/main" uri="{B97F6D7D-B522-45F9-BDA1-12C45D357490}">
          <x15:cacheHierarchy aggregatedColumn="2"/>
        </ext>
      </extLst>
    </cacheHierarchy>
    <cacheHierarchy uniqueName="[Measures].[Count of Name]" caption="Count of Name" measure="1" displayFolder="" measureGroup="staff"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Age]" caption="Average of Age" measure="1" displayFolder="" measureGroup="staff" count="0" oneField="1" hidden="1">
      <fieldsUsage count="1">
        <fieldUsage x="2"/>
      </fieldsUsage>
      <extLst>
        <ext xmlns:x15="http://schemas.microsoft.com/office/spreadsheetml/2010/11/main" uri="{B97F6D7D-B522-45F9-BDA1-12C45D357490}">
          <x15:cacheHierarchy aggregatedColumn="2"/>
        </ext>
      </extLst>
    </cacheHierarchy>
    <cacheHierarchy uniqueName="[Measures].[Average of Salary]" caption="Average of Salary" measure="1" displayFolder="" measureGroup="staff" count="0" oneField="1" hidden="1">
      <fieldsUsage count="1">
        <fieldUsage x="3"/>
      </fieldsUsage>
      <extLst>
        <ext xmlns:x15="http://schemas.microsoft.com/office/spreadsheetml/2010/11/main" uri="{B97F6D7D-B522-45F9-BDA1-12C45D357490}">
          <x15:cacheHierarchy aggregatedColumn="6"/>
        </ext>
      </extLst>
    </cacheHierarchy>
    <cacheHierarchy uniqueName="[Measures].[Sum of Tenure]" caption="Sum of Tenure" measure="1" displayFolder="" measureGroup="staff" count="0" hidden="1">
      <extLst>
        <ext xmlns:x15="http://schemas.microsoft.com/office/spreadsheetml/2010/11/main" uri="{B97F6D7D-B522-45F9-BDA1-12C45D357490}">
          <x15:cacheHierarchy aggregatedColumn="8"/>
        </ext>
      </extLst>
    </cacheHierarchy>
    <cacheHierarchy uniqueName="[Measures].[Average of Tenure]" caption="Average of Tenure" measure="1" displayFolder="" measureGroup="staff" count="0" oneField="1" hidden="1">
      <fieldsUsage count="1">
        <fieldUsage x="4"/>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Thickpenny Ryan" refreshedDate="45998.598128935184" backgroundQuery="1" createdVersion="8" refreshedVersion="8" minRefreshableVersion="3" recordCount="0" supportSubquery="1" supportAdvancedDrill="1" xr:uid="{1FA1597F-4DCD-46D3-AAE0-C0D8ABD3C538}">
  <cacheSource type="external" connectionId="4"/>
  <cacheFields count="4">
    <cacheField name="[staff].[Date Joined (Month)].[Date Joined (Month)]" caption="Date Joined (Month)" numFmtId="0" hierarchy="11" level="1">
      <sharedItems count="12">
        <s v="Jan"/>
        <s v="Feb"/>
        <s v="Mar"/>
        <s v="Apr"/>
        <s v="May"/>
        <s v="Jun"/>
        <s v="Jul"/>
        <s v="Aug"/>
        <s v="Sep"/>
        <s v="Oct"/>
        <s v="Nov"/>
        <s v="Dec"/>
      </sharedItems>
    </cacheField>
    <cacheField name="[staff].[Date Joined (Year)].[Date Joined (Year)]" caption="Date Joined (Year)" numFmtId="0" hierarchy="9" level="1">
      <sharedItems count="4">
        <s v="2020"/>
        <s v="2021"/>
        <s v="2022"/>
        <s v="2023"/>
      </sharedItems>
    </cacheField>
    <cacheField name="[Measures].[Count of Name]" caption="Count of Name" numFmtId="0" hierarchy="18" level="32767"/>
    <cacheField name="Unsupported0" numFmtId="0" hierarchy="23" level="32767">
      <extLst>
        <ext xmlns:x14="http://schemas.microsoft.com/office/spreadsheetml/2009/9/main" uri="{63CAB8AC-B538-458d-9737-405883B0398D}">
          <x14:cacheField ignore="1"/>
        </ext>
      </extLst>
    </cacheField>
  </cacheFields>
  <cacheHierarchies count="24">
    <cacheHierarchy uniqueName="[staff].[Name]" caption="Name" attribute="1" defaultMemberUniqueName="[staff].[Name].[All]" allUniqueName="[staff].[Name].[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Age]" caption="Age" attribute="1" defaultMemberUniqueName="[staff].[Age].[All]" allUniqueName="[staff].[Age].[All]" dimensionUniqueName="[staff]" displayFolder="" count="0" memberValueDatatype="20" unbalanced="0"/>
    <cacheHierarchy uniqueName="[staff].[Rating]" caption="Rating" attribute="1" defaultMemberUniqueName="[staff].[Rating].[All]" allUniqueName="[staff].[Rating].[All]" dimensionUniqueName="[staff]" displayFolder="" count="0" memberValueDatatype="130" unbalanced="0"/>
    <cacheHierarchy uniqueName="[staff].[Date Joined]" caption="Date Joined" attribute="1" time="1" defaultMemberUniqueName="[staff].[Date Joined].[All]" allUniqueName="[staff].[Date Joined].[All]" dimensionUniqueName="[staff]" displayFolder="" count="2" memberValueDatatype="7" unbalanced="0"/>
    <cacheHierarchy uniqueName="[staff].[Department]" caption="Department" attribute="1" defaultMemberUniqueName="[staff].[Department].[All]" allUniqueName="[staff].[Department].[All]" dimensionUniqueName="[staff]" displayFolder="" count="0" memberValueDatatype="130" unbalanced="0"/>
    <cacheHierarchy uniqueName="[staff].[Salary]" caption="Salary" attribute="1" defaultMemberUniqueName="[staff].[Salary].[All]" allUniqueName="[staff].[Salary].[All]" dimensionUniqueName="[staff]" displayFolder="" count="0" memberValueDatatype="20" unbalanced="0"/>
    <cacheHierarchy uniqueName="[staff].[Country]" caption="Country" attribute="1" defaultMemberUniqueName="[staff].[Country].[All]" allUniqueName="[staff].[Country].[All]" dimensionUniqueName="[staff]" displayFolder="" count="0" memberValueDatatype="130" unbalanced="0"/>
    <cacheHierarchy uniqueName="[staff].[Tenure]" caption="Tenure" attribute="1" defaultMemberUniqueName="[staff].[Tenure].[All]" allUniqueName="[staff].[Tenure].[All]" dimensionUniqueName="[staff]" displayFolder="" count="0" memberValueDatatype="5" unbalanced="0"/>
    <cacheHierarchy uniqueName="[staff].[Date Joined (Year)]" caption="Date Joined (Year)" attribute="1" defaultMemberUniqueName="[staff].[Date Joined (Year)].[All]" allUniqueName="[staff].[Date Joined (Year)].[All]" dimensionUniqueName="[staff]" displayFolder="" count="2" memberValueDatatype="130" unbalanced="0">
      <fieldsUsage count="2">
        <fieldUsage x="-1"/>
        <fieldUsage x="1"/>
      </fieldsUsage>
    </cacheHierarchy>
    <cacheHierarchy uniqueName="[staff].[Date Joined (Quarter)]" caption="Date Joined (Quarter)" attribute="1" defaultMemberUniqueName="[staff].[Date Joined (Quarter)].[All]" allUniqueName="[staff].[Date Joined (Quarter)].[All]" dimensionUniqueName="[staff]" displayFolder="" count="2" memberValueDatatype="130" unbalanced="0"/>
    <cacheHierarchy uniqueName="[staff].[Date Joined (Month)]" caption="Date Joined (Month)" attribute="1" defaultMemberUniqueName="[staff].[Date Joined (Month)].[All]" allUniqueName="[staff].[Date Joined (Month)].[All]" dimensionUniqueName="[staff]" displayFolder="" count="2" memberValueDatatype="130" unbalanced="0">
      <fieldsUsage count="2">
        <fieldUsage x="-1"/>
        <fieldUsage x="0"/>
      </fieldsUsage>
    </cacheHierarchy>
    <cacheHierarchy uniqueName="[staff].[Date Joined (Month Index)]" caption="Date Joined (Month Index)" attribute="1" defaultMemberUniqueName="[staff].[Date Joined (Month Index)].[All]" allUniqueName="[staff].[Date Joined (Month Index)].[All]" dimensionUniqueName="[staff]" displayFolder="" count="0" memberValueDatatype="20" unbalanced="0" hidden="1"/>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Sum of Salary]" caption="Sum of Salary" measure="1" displayFolder="" measureGroup="staff"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staff"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staff" count="0" hidden="1">
      <extLst>
        <ext xmlns:x15="http://schemas.microsoft.com/office/spreadsheetml/2010/11/main" uri="{B97F6D7D-B522-45F9-BDA1-12C45D357490}">
          <x15:cacheHierarchy aggregatedColumn="2"/>
        </ext>
      </extLst>
    </cacheHierarchy>
    <cacheHierarchy uniqueName="[Measures].[Count of Name]" caption="Count of Name" measure="1" displayFolder="" measureGroup="staff" count="0" oneField="1" hidden="1">
      <fieldsUsage count="1">
        <fieldUsage x="2"/>
      </fieldsUsage>
      <extLst>
        <ext xmlns:x15="http://schemas.microsoft.com/office/spreadsheetml/2010/11/main" uri="{B97F6D7D-B522-45F9-BDA1-12C45D357490}">
          <x15:cacheHierarchy aggregatedColumn="0"/>
        </ext>
      </extLst>
    </cacheHierarchy>
    <cacheHierarchy uniqueName="[Measures].[Average of Age]" caption="Average of Age" measure="1" displayFolder="" measureGroup="staff" count="0" hidden="1">
      <extLst>
        <ext xmlns:x15="http://schemas.microsoft.com/office/spreadsheetml/2010/11/main" uri="{B97F6D7D-B522-45F9-BDA1-12C45D357490}">
          <x15:cacheHierarchy aggregatedColumn="2"/>
        </ext>
      </extLst>
    </cacheHierarchy>
    <cacheHierarchy uniqueName="[Measures].[Average of Salary]" caption="Average of Salary" measure="1" displayFolder="" measureGroup="staff" count="0" hidden="1">
      <extLst>
        <ext xmlns:x15="http://schemas.microsoft.com/office/spreadsheetml/2010/11/main" uri="{B97F6D7D-B522-45F9-BDA1-12C45D357490}">
          <x15:cacheHierarchy aggregatedColumn="6"/>
        </ext>
      </extLst>
    </cacheHierarchy>
    <cacheHierarchy uniqueName="[Measures].[Sum of Tenure]" caption="Sum of Tenure" measure="1" displayFolder="" measureGroup="staff" count="0" hidden="1">
      <extLst>
        <ext xmlns:x15="http://schemas.microsoft.com/office/spreadsheetml/2010/11/main" uri="{B97F6D7D-B522-45F9-BDA1-12C45D357490}">
          <x15:cacheHierarchy aggregatedColumn="8"/>
        </ext>
      </extLst>
    </cacheHierarchy>
    <cacheHierarchy uniqueName="[Measures].[Average of Tenure]" caption="Average of Tenure" measure="1" displayFolder="" measureGroup="staff" count="0" hidden="1">
      <extLst>
        <ext xmlns:x15="http://schemas.microsoft.com/office/spreadsheetml/2010/11/main" uri="{B97F6D7D-B522-45F9-BDA1-12C45D357490}">
          <x15:cacheHierarchy aggregatedColumn="8"/>
        </ext>
      </extLst>
    </cacheHierarchy>
    <cacheHierarchy uniqueName="Unsupported0" caption="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Thickpenny Ryan" refreshedDate="45998.621372453701" backgroundQuery="1" createdVersion="8" refreshedVersion="8" minRefreshableVersion="3" recordCount="0" supportSubquery="1" supportAdvancedDrill="1" xr:uid="{E4B6D3D7-373F-4B1E-B2E5-001BCDEC2648}">
  <cacheSource type="external" connectionId="4"/>
  <cacheFields count="3">
    <cacheField name="[Measures].[Count of Name]" caption="Count of Name" numFmtId="0" hierarchy="18" level="32767"/>
    <cacheField name="[staff].[Date Joined (Year)].[Date Joined (Year)]" caption="Date Joined (Year)" numFmtId="0" hierarchy="9" level="1">
      <sharedItems count="4">
        <s v="2020"/>
        <s v="2021"/>
        <s v="2022"/>
        <s v="2023"/>
      </sharedItems>
    </cacheField>
    <cacheField name="[staff].[Date Joined (Month)].[Date Joined (Month)]" caption="Date Joined (Month)" numFmtId="0" hierarchy="11" level="1">
      <sharedItems count="12">
        <s v="May"/>
        <s v="Jun"/>
        <s v="Jul"/>
        <s v="Aug"/>
        <s v="Sep"/>
        <s v="Oct"/>
        <s v="Nov"/>
        <s v="Dec"/>
        <s v="Jan"/>
        <s v="Feb"/>
        <s v="Mar"/>
        <s v="Apr"/>
      </sharedItems>
    </cacheField>
  </cacheFields>
  <cacheHierarchies count="23">
    <cacheHierarchy uniqueName="[staff].[Name]" caption="Name" attribute="1" defaultMemberUniqueName="[staff].[Name].[All]" allUniqueName="[staff].[Name].[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Age]" caption="Age" attribute="1" defaultMemberUniqueName="[staff].[Age].[All]" allUniqueName="[staff].[Age].[All]" dimensionUniqueName="[staff]" displayFolder="" count="0" memberValueDatatype="20" unbalanced="0"/>
    <cacheHierarchy uniqueName="[staff].[Rating]" caption="Rating" attribute="1" defaultMemberUniqueName="[staff].[Rating].[All]" allUniqueName="[staff].[Rating].[All]" dimensionUniqueName="[staff]" displayFolder="" count="0" memberValueDatatype="130" unbalanced="0"/>
    <cacheHierarchy uniqueName="[staff].[Date Joined]" caption="Date Joined" attribute="1" time="1" defaultMemberUniqueName="[staff].[Date Joined].[All]" allUniqueName="[staff].[Date Joined].[All]" dimensionUniqueName="[staff]" displayFolder="" count="0" memberValueDatatype="7" unbalanced="0"/>
    <cacheHierarchy uniqueName="[staff].[Department]" caption="Department" attribute="1" defaultMemberUniqueName="[staff].[Department].[All]" allUniqueName="[staff].[Department].[All]" dimensionUniqueName="[staff]" displayFolder="" count="0" memberValueDatatype="130" unbalanced="0"/>
    <cacheHierarchy uniqueName="[staff].[Salary]" caption="Salary" attribute="1" defaultMemberUniqueName="[staff].[Salary].[All]" allUniqueName="[staff].[Salary].[All]" dimensionUniqueName="[staff]" displayFolder="" count="0" memberValueDatatype="20" unbalanced="0"/>
    <cacheHierarchy uniqueName="[staff].[Country]" caption="Country" attribute="1" defaultMemberUniqueName="[staff].[Country].[All]" allUniqueName="[staff].[Country].[All]" dimensionUniqueName="[staff]" displayFolder="" count="0" memberValueDatatype="130" unbalanced="0"/>
    <cacheHierarchy uniqueName="[staff].[Tenure]" caption="Tenure" attribute="1" defaultMemberUniqueName="[staff].[Tenure].[All]" allUniqueName="[staff].[Tenure].[All]" dimensionUniqueName="[staff]" displayFolder="" count="0" memberValueDatatype="5" unbalanced="0"/>
    <cacheHierarchy uniqueName="[staff].[Date Joined (Year)]" caption="Date Joined (Year)" attribute="1" defaultMemberUniqueName="[staff].[Date Joined (Year)].[All]" allUniqueName="[staff].[Date Joined (Year)].[All]" dimensionUniqueName="[staff]" displayFolder="" count="2" memberValueDatatype="130" unbalanced="0">
      <fieldsUsage count="2">
        <fieldUsage x="-1"/>
        <fieldUsage x="1"/>
      </fieldsUsage>
    </cacheHierarchy>
    <cacheHierarchy uniqueName="[staff].[Date Joined (Quarter)]" caption="Date Joined (Quarter)" attribute="1" defaultMemberUniqueName="[staff].[Date Joined (Quarter)].[All]" allUniqueName="[staff].[Date Joined (Quarter)].[All]" dimensionUniqueName="[staff]" displayFolder="" count="0" memberValueDatatype="130" unbalanced="0"/>
    <cacheHierarchy uniqueName="[staff].[Date Joined (Month)]" caption="Date Joined (Month)" attribute="1" defaultMemberUniqueName="[staff].[Date Joined (Month)].[All]" allUniqueName="[staff].[Date Joined (Month)].[All]" dimensionUniqueName="[staff]" displayFolder="" count="2" memberValueDatatype="130" unbalanced="0">
      <fieldsUsage count="2">
        <fieldUsage x="-1"/>
        <fieldUsage x="2"/>
      </fieldsUsage>
    </cacheHierarchy>
    <cacheHierarchy uniqueName="[staff].[Date Joined (Month Index)]" caption="Date Joined (Month Index)" attribute="1" defaultMemberUniqueName="[staff].[Date Joined (Month Index)].[All]" allUniqueName="[staff].[Date Joined (Month Index)].[All]" dimensionUniqueName="[staff]" displayFolder="" count="0" memberValueDatatype="20" unbalanced="0" hidden="1"/>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Sum of Salary]" caption="Sum of Salary" measure="1" displayFolder="" measureGroup="staff"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staff"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staff" count="0" hidden="1">
      <extLst>
        <ext xmlns:x15="http://schemas.microsoft.com/office/spreadsheetml/2010/11/main" uri="{B97F6D7D-B522-45F9-BDA1-12C45D357490}">
          <x15:cacheHierarchy aggregatedColumn="2"/>
        </ext>
      </extLst>
    </cacheHierarchy>
    <cacheHierarchy uniqueName="[Measures].[Count of Name]" caption="Count of Name" measure="1" displayFolder="" measureGroup="staff" count="0" oneField="1" hidden="1">
      <fieldsUsage count="1">
        <fieldUsage x="0"/>
      </fieldsUsage>
      <extLst>
        <ext xmlns:x15="http://schemas.microsoft.com/office/spreadsheetml/2010/11/main" uri="{B97F6D7D-B522-45F9-BDA1-12C45D357490}">
          <x15:cacheHierarchy aggregatedColumn="0"/>
        </ext>
      </extLst>
    </cacheHierarchy>
    <cacheHierarchy uniqueName="[Measures].[Average of Age]" caption="Average of Age" measure="1" displayFolder="" measureGroup="staff" count="0" hidden="1">
      <extLst>
        <ext xmlns:x15="http://schemas.microsoft.com/office/spreadsheetml/2010/11/main" uri="{B97F6D7D-B522-45F9-BDA1-12C45D357490}">
          <x15:cacheHierarchy aggregatedColumn="2"/>
        </ext>
      </extLst>
    </cacheHierarchy>
    <cacheHierarchy uniqueName="[Measures].[Average of Salary]" caption="Average of Salary" measure="1" displayFolder="" measureGroup="staff" count="0" hidden="1">
      <extLst>
        <ext xmlns:x15="http://schemas.microsoft.com/office/spreadsheetml/2010/11/main" uri="{B97F6D7D-B522-45F9-BDA1-12C45D357490}">
          <x15:cacheHierarchy aggregatedColumn="6"/>
        </ext>
      </extLst>
    </cacheHierarchy>
    <cacheHierarchy uniqueName="[Measures].[Sum of Tenure]" caption="Sum of Tenure" measure="1" displayFolder="" measureGroup="staff" count="0" hidden="1">
      <extLst>
        <ext xmlns:x15="http://schemas.microsoft.com/office/spreadsheetml/2010/11/main" uri="{B97F6D7D-B522-45F9-BDA1-12C45D357490}">
          <x15:cacheHierarchy aggregatedColumn="8"/>
        </ext>
      </extLst>
    </cacheHierarchy>
    <cacheHierarchy uniqueName="[Measures].[Average of Tenure]" caption="Average of Tenure" measure="1" displayFolder="" measureGroup="staff"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Thickpenny Ryan" refreshedDate="46000.951609953707" backgroundQuery="1" createdVersion="8" refreshedVersion="8" minRefreshableVersion="3" recordCount="0" supportSubquery="1" supportAdvancedDrill="1" xr:uid="{1EDE4575-695F-4896-A733-0CA1A6727BC6}">
  <cacheSource type="external" connectionId="4"/>
  <cacheFields count="3">
    <cacheField name="[staff].[Department].[Department]" caption="Department" numFmtId="0" hierarchy="5" level="1">
      <sharedItems count="5">
        <s v="Finance"/>
        <s v="HR"/>
        <s v="Procurement"/>
        <s v="Sales"/>
        <s v="Website"/>
      </sharedItems>
    </cacheField>
    <cacheField name="[staff].[Country].[Country]" caption="Country" numFmtId="0" hierarchy="7" level="1">
      <sharedItems containsSemiMixedTypes="0" containsNonDate="0" containsString="0"/>
    </cacheField>
    <cacheField name="[Measures].[Count of Name]" caption="Count of Name" numFmtId="0" hierarchy="18" level="32767"/>
  </cacheFields>
  <cacheHierarchies count="23">
    <cacheHierarchy uniqueName="[staff].[Name]" caption="Name" attribute="1" defaultMemberUniqueName="[staff].[Name].[All]" allUniqueName="[staff].[Name].[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Age]" caption="Age" attribute="1" defaultMemberUniqueName="[staff].[Age].[All]" allUniqueName="[staff].[Age].[All]" dimensionUniqueName="[staff]" displayFolder="" count="0" memberValueDatatype="20" unbalanced="0"/>
    <cacheHierarchy uniqueName="[staff].[Rating]" caption="Rating" attribute="1" defaultMemberUniqueName="[staff].[Rating].[All]" allUniqueName="[staff].[Rating].[All]" dimensionUniqueName="[staff]" displayFolder="" count="0" memberValueDatatype="130" unbalanced="0"/>
    <cacheHierarchy uniqueName="[staff].[Date Joined]" caption="Date Joined" attribute="1" time="1" defaultMemberUniqueName="[staff].[Date Joined].[All]" allUniqueName="[staff].[Date Joined].[All]" dimensionUniqueName="[staff]" displayFolder="" count="0" memberValueDatatype="7" unbalanced="0"/>
    <cacheHierarchy uniqueName="[staff].[Department]" caption="Department" attribute="1" defaultMemberUniqueName="[staff].[Department].[All]" allUniqueName="[staff].[Department].[All]" dimensionUniqueName="[staff]" displayFolder="" count="2" memberValueDatatype="130" unbalanced="0">
      <fieldsUsage count="2">
        <fieldUsage x="-1"/>
        <fieldUsage x="0"/>
      </fieldsUsage>
    </cacheHierarchy>
    <cacheHierarchy uniqueName="[staff].[Salary]" caption="Salary" attribute="1" defaultMemberUniqueName="[staff].[Salary].[All]" allUniqueName="[staff].[Salary].[All]" dimensionUniqueName="[staff]" displayFolder="" count="0" memberValueDatatype="20" unbalanced="0"/>
    <cacheHierarchy uniqueName="[staff].[Country]" caption="Country" attribute="1" defaultMemberUniqueName="[staff].[Country].[All]" allUniqueName="[staff].[Country].[All]" dimensionUniqueName="[staff]" displayFolder="" count="2" memberValueDatatype="130" unbalanced="0">
      <fieldsUsage count="2">
        <fieldUsage x="-1"/>
        <fieldUsage x="1"/>
      </fieldsUsage>
    </cacheHierarchy>
    <cacheHierarchy uniqueName="[staff].[Tenure]" caption="Tenure" attribute="1" defaultMemberUniqueName="[staff].[Tenure].[All]" allUniqueName="[staff].[Tenure].[All]" dimensionUniqueName="[staff]" displayFolder="" count="0" memberValueDatatype="5" unbalanced="0"/>
    <cacheHierarchy uniqueName="[staff].[Date Joined (Year)]" caption="Date Joined (Year)" attribute="1" defaultMemberUniqueName="[staff].[Date Joined (Year)].[All]" allUniqueName="[staff].[Date Joined (Year)].[All]" dimensionUniqueName="[staff]" displayFolder="" count="0" memberValueDatatype="130" unbalanced="0"/>
    <cacheHierarchy uniqueName="[staff].[Date Joined (Quarter)]" caption="Date Joined (Quarter)" attribute="1" defaultMemberUniqueName="[staff].[Date Joined (Quarter)].[All]" allUniqueName="[staff].[Date Joined (Quarter)].[All]" dimensionUniqueName="[staff]" displayFolder="" count="0" memberValueDatatype="130" unbalanced="0"/>
    <cacheHierarchy uniqueName="[staff].[Date Joined (Month)]" caption="Date Joined (Month)" attribute="1" defaultMemberUniqueName="[staff].[Date Joined (Month)].[All]" allUniqueName="[staff].[Date Joined (Month)].[All]" dimensionUniqueName="[staff]" displayFolder="" count="0" memberValueDatatype="130" unbalanced="0"/>
    <cacheHierarchy uniqueName="[staff].[Date Joined (Month Index)]" caption="Date Joined (Month Index)" attribute="1" defaultMemberUniqueName="[staff].[Date Joined (Month Index)].[All]" allUniqueName="[staff].[Date Joined (Month Index)].[All]" dimensionUniqueName="[staff]" displayFolder="" count="0" memberValueDatatype="20" unbalanced="0" hidden="1"/>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Sum of Salary]" caption="Sum of Salary" measure="1" displayFolder="" measureGroup="staff"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staff"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staff" count="0" hidden="1">
      <extLst>
        <ext xmlns:x15="http://schemas.microsoft.com/office/spreadsheetml/2010/11/main" uri="{B97F6D7D-B522-45F9-BDA1-12C45D357490}">
          <x15:cacheHierarchy aggregatedColumn="2"/>
        </ext>
      </extLst>
    </cacheHierarchy>
    <cacheHierarchy uniqueName="[Measures].[Count of Name]" caption="Count of Name" measure="1" displayFolder="" measureGroup="staff" count="0" oneField="1" hidden="1">
      <fieldsUsage count="1">
        <fieldUsage x="2"/>
      </fieldsUsage>
      <extLst>
        <ext xmlns:x15="http://schemas.microsoft.com/office/spreadsheetml/2010/11/main" uri="{B97F6D7D-B522-45F9-BDA1-12C45D357490}">
          <x15:cacheHierarchy aggregatedColumn="0"/>
        </ext>
      </extLst>
    </cacheHierarchy>
    <cacheHierarchy uniqueName="[Measures].[Average of Age]" caption="Average of Age" measure="1" displayFolder="" measureGroup="staff" count="0" hidden="1">
      <extLst>
        <ext xmlns:x15="http://schemas.microsoft.com/office/spreadsheetml/2010/11/main" uri="{B97F6D7D-B522-45F9-BDA1-12C45D357490}">
          <x15:cacheHierarchy aggregatedColumn="2"/>
        </ext>
      </extLst>
    </cacheHierarchy>
    <cacheHierarchy uniqueName="[Measures].[Average of Salary]" caption="Average of Salary" measure="1" displayFolder="" measureGroup="staff" count="0" hidden="1">
      <extLst>
        <ext xmlns:x15="http://schemas.microsoft.com/office/spreadsheetml/2010/11/main" uri="{B97F6D7D-B522-45F9-BDA1-12C45D357490}">
          <x15:cacheHierarchy aggregatedColumn="6"/>
        </ext>
      </extLst>
    </cacheHierarchy>
    <cacheHierarchy uniqueName="[Measures].[Sum of Tenure]" caption="Sum of Tenure" measure="1" displayFolder="" measureGroup="staff" count="0" hidden="1">
      <extLst>
        <ext xmlns:x15="http://schemas.microsoft.com/office/spreadsheetml/2010/11/main" uri="{B97F6D7D-B522-45F9-BDA1-12C45D357490}">
          <x15:cacheHierarchy aggregatedColumn="8"/>
        </ext>
      </extLst>
    </cacheHierarchy>
    <cacheHierarchy uniqueName="[Measures].[Average of Tenure]" caption="Average of Tenure" measure="1" displayFolder="" measureGroup="staff"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Thickpenny Ryan" refreshedDate="46000.951659837963" backgroundQuery="1" createdVersion="8" refreshedVersion="8" minRefreshableVersion="3" recordCount="0" supportSubquery="1" supportAdvancedDrill="1" xr:uid="{BBD59BB5-6800-429E-90C7-7BC9517A647E}">
  <cacheSource type="external" connectionId="4"/>
  <cacheFields count="3">
    <cacheField name="[staff].[Department].[Department]" caption="Department" numFmtId="0" hierarchy="5" level="1">
      <sharedItems count="5">
        <s v="Finance"/>
        <s v="HR"/>
        <s v="Procurement"/>
        <s v="Sales"/>
        <s v="Website"/>
      </sharedItems>
    </cacheField>
    <cacheField name="[staff].[Country].[Country]" caption="Country" numFmtId="0" hierarchy="7" level="1">
      <sharedItems containsSemiMixedTypes="0" containsNonDate="0" containsString="0"/>
    </cacheField>
    <cacheField name="[Measures].[Count of Name]" caption="Count of Name" numFmtId="0" hierarchy="18" level="32767"/>
  </cacheFields>
  <cacheHierarchies count="23">
    <cacheHierarchy uniqueName="[staff].[Name]" caption="Name" attribute="1" defaultMemberUniqueName="[staff].[Name].[All]" allUniqueName="[staff].[Name].[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Age]" caption="Age" attribute="1" defaultMemberUniqueName="[staff].[Age].[All]" allUniqueName="[staff].[Age].[All]" dimensionUniqueName="[staff]" displayFolder="" count="0" memberValueDatatype="20" unbalanced="0"/>
    <cacheHierarchy uniqueName="[staff].[Rating]" caption="Rating" attribute="1" defaultMemberUniqueName="[staff].[Rating].[All]" allUniqueName="[staff].[Rating].[All]" dimensionUniqueName="[staff]" displayFolder="" count="0" memberValueDatatype="130" unbalanced="0"/>
    <cacheHierarchy uniqueName="[staff].[Date Joined]" caption="Date Joined" attribute="1" time="1" defaultMemberUniqueName="[staff].[Date Joined].[All]" allUniqueName="[staff].[Date Joined].[All]" dimensionUniqueName="[staff]" displayFolder="" count="0" memberValueDatatype="7" unbalanced="0"/>
    <cacheHierarchy uniqueName="[staff].[Department]" caption="Department" attribute="1" defaultMemberUniqueName="[staff].[Department].[All]" allUniqueName="[staff].[Department].[All]" dimensionUniqueName="[staff]" displayFolder="" count="2" memberValueDatatype="130" unbalanced="0">
      <fieldsUsage count="2">
        <fieldUsage x="-1"/>
        <fieldUsage x="0"/>
      </fieldsUsage>
    </cacheHierarchy>
    <cacheHierarchy uniqueName="[staff].[Salary]" caption="Salary" attribute="1" defaultMemberUniqueName="[staff].[Salary].[All]" allUniqueName="[staff].[Salary].[All]" dimensionUniqueName="[staff]" displayFolder="" count="0" memberValueDatatype="20" unbalanced="0"/>
    <cacheHierarchy uniqueName="[staff].[Country]" caption="Country" attribute="1" defaultMemberUniqueName="[staff].[Country].[All]" allUniqueName="[staff].[Country].[All]" dimensionUniqueName="[staff]" displayFolder="" count="2" memberValueDatatype="130" unbalanced="0">
      <fieldsUsage count="2">
        <fieldUsage x="-1"/>
        <fieldUsage x="1"/>
      </fieldsUsage>
    </cacheHierarchy>
    <cacheHierarchy uniqueName="[staff].[Tenure]" caption="Tenure" attribute="1" defaultMemberUniqueName="[staff].[Tenure].[All]" allUniqueName="[staff].[Tenure].[All]" dimensionUniqueName="[staff]" displayFolder="" count="0" memberValueDatatype="5" unbalanced="0"/>
    <cacheHierarchy uniqueName="[staff].[Date Joined (Year)]" caption="Date Joined (Year)" attribute="1" defaultMemberUniqueName="[staff].[Date Joined (Year)].[All]" allUniqueName="[staff].[Date Joined (Year)].[All]" dimensionUniqueName="[staff]" displayFolder="" count="0" memberValueDatatype="130" unbalanced="0"/>
    <cacheHierarchy uniqueName="[staff].[Date Joined (Quarter)]" caption="Date Joined (Quarter)" attribute="1" defaultMemberUniqueName="[staff].[Date Joined (Quarter)].[All]" allUniqueName="[staff].[Date Joined (Quarter)].[All]" dimensionUniqueName="[staff]" displayFolder="" count="0" memberValueDatatype="130" unbalanced="0"/>
    <cacheHierarchy uniqueName="[staff].[Date Joined (Month)]" caption="Date Joined (Month)" attribute="1" defaultMemberUniqueName="[staff].[Date Joined (Month)].[All]" allUniqueName="[staff].[Date Joined (Month)].[All]" dimensionUniqueName="[staff]" displayFolder="" count="0" memberValueDatatype="130" unbalanced="0"/>
    <cacheHierarchy uniqueName="[staff].[Date Joined (Month Index)]" caption="Date Joined (Month Index)" attribute="1" defaultMemberUniqueName="[staff].[Date Joined (Month Index)].[All]" allUniqueName="[staff].[Date Joined (Month Index)].[All]" dimensionUniqueName="[staff]" displayFolder="" count="0" memberValueDatatype="20" unbalanced="0" hidden="1"/>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Sum of Salary]" caption="Sum of Salary" measure="1" displayFolder="" measureGroup="staff"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staff"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staff" count="0" hidden="1">
      <extLst>
        <ext xmlns:x15="http://schemas.microsoft.com/office/spreadsheetml/2010/11/main" uri="{B97F6D7D-B522-45F9-BDA1-12C45D357490}">
          <x15:cacheHierarchy aggregatedColumn="2"/>
        </ext>
      </extLst>
    </cacheHierarchy>
    <cacheHierarchy uniqueName="[Measures].[Count of Name]" caption="Count of Name" measure="1" displayFolder="" measureGroup="staff" count="0" oneField="1" hidden="1">
      <fieldsUsage count="1">
        <fieldUsage x="2"/>
      </fieldsUsage>
      <extLst>
        <ext xmlns:x15="http://schemas.microsoft.com/office/spreadsheetml/2010/11/main" uri="{B97F6D7D-B522-45F9-BDA1-12C45D357490}">
          <x15:cacheHierarchy aggregatedColumn="0"/>
        </ext>
      </extLst>
    </cacheHierarchy>
    <cacheHierarchy uniqueName="[Measures].[Average of Age]" caption="Average of Age" measure="1" displayFolder="" measureGroup="staff" count="0" hidden="1">
      <extLst>
        <ext xmlns:x15="http://schemas.microsoft.com/office/spreadsheetml/2010/11/main" uri="{B97F6D7D-B522-45F9-BDA1-12C45D357490}">
          <x15:cacheHierarchy aggregatedColumn="2"/>
        </ext>
      </extLst>
    </cacheHierarchy>
    <cacheHierarchy uniqueName="[Measures].[Average of Salary]" caption="Average of Salary" measure="1" displayFolder="" measureGroup="staff" count="0" hidden="1">
      <extLst>
        <ext xmlns:x15="http://schemas.microsoft.com/office/spreadsheetml/2010/11/main" uri="{B97F6D7D-B522-45F9-BDA1-12C45D357490}">
          <x15:cacheHierarchy aggregatedColumn="6"/>
        </ext>
      </extLst>
    </cacheHierarchy>
    <cacheHierarchy uniqueName="[Measures].[Sum of Tenure]" caption="Sum of Tenure" measure="1" displayFolder="" measureGroup="staff" count="0" hidden="1">
      <extLst>
        <ext xmlns:x15="http://schemas.microsoft.com/office/spreadsheetml/2010/11/main" uri="{B97F6D7D-B522-45F9-BDA1-12C45D357490}">
          <x15:cacheHierarchy aggregatedColumn="8"/>
        </ext>
      </extLst>
    </cacheHierarchy>
    <cacheHierarchy uniqueName="[Measures].[Average of Tenure]" caption="Average of Tenure" measure="1" displayFolder="" measureGroup="staff"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Thickpenny Ryan" refreshedDate="45998.595821296294" backgroundQuery="1" createdVersion="3" refreshedVersion="8" minRefreshableVersion="3" recordCount="0" supportSubquery="1" supportAdvancedDrill="1" xr:uid="{A102FAF8-5B82-4953-A6BE-DA3C336BB55E}">
  <cacheSource type="external" connectionId="4">
    <extLst>
      <ext xmlns:x14="http://schemas.microsoft.com/office/spreadsheetml/2009/9/main" uri="{F057638F-6D5F-4e77-A914-E7F072B9BCA8}">
        <x14:sourceConnection name="ThisWorkbookDataModel"/>
      </ext>
    </extLst>
  </cacheSource>
  <cacheFields count="0"/>
  <cacheHierarchies count="23">
    <cacheHierarchy uniqueName="[staff].[Name]" caption="Name" attribute="1" defaultMemberUniqueName="[staff].[Name].[All]" allUniqueName="[staff].[Name].[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Age]" caption="Age" attribute="1" defaultMemberUniqueName="[staff].[Age].[All]" allUniqueName="[staff].[Age].[All]" dimensionUniqueName="[staff]" displayFolder="" count="0" memberValueDatatype="20" unbalanced="0"/>
    <cacheHierarchy uniqueName="[staff].[Rating]" caption="Rating" attribute="1" defaultMemberUniqueName="[staff].[Rating].[All]" allUniqueName="[staff].[Rating].[All]" dimensionUniqueName="[staff]" displayFolder="" count="0" memberValueDatatype="130" unbalanced="0"/>
    <cacheHierarchy uniqueName="[staff].[Date Joined]" caption="Date Joined" attribute="1" time="1" defaultMemberUniqueName="[staff].[Date Joined].[All]" allUniqueName="[staff].[Date Joined].[All]" dimensionUniqueName="[staff]" displayFolder="" count="0" memberValueDatatype="7" unbalanced="0"/>
    <cacheHierarchy uniqueName="[staff].[Department]" caption="Department" attribute="1" defaultMemberUniqueName="[staff].[Department].[All]" allUniqueName="[staff].[Department].[All]" dimensionUniqueName="[staff]" displayFolder="" count="0" memberValueDatatype="130" unbalanced="0"/>
    <cacheHierarchy uniqueName="[staff].[Salary]" caption="Salary" attribute="1" defaultMemberUniqueName="[staff].[Salary].[All]" allUniqueName="[staff].[Salary].[All]" dimensionUniqueName="[staff]" displayFolder="" count="0" memberValueDatatype="20" unbalanced="0"/>
    <cacheHierarchy uniqueName="[staff].[Country]" caption="Country" attribute="1" defaultMemberUniqueName="[staff].[Country].[All]" allUniqueName="[staff].[Country].[All]" dimensionUniqueName="[staff]" displayFolder="" count="2" memberValueDatatype="130" unbalanced="0"/>
    <cacheHierarchy uniqueName="[staff].[Tenure]" caption="Tenure" attribute="1" defaultMemberUniqueName="[staff].[Tenure].[All]" allUniqueName="[staff].[Tenure].[All]" dimensionUniqueName="[staff]" displayFolder="" count="0" memberValueDatatype="5" unbalanced="0"/>
    <cacheHierarchy uniqueName="[staff].[Date Joined (Year)]" caption="Date Joined (Year)" attribute="1" defaultMemberUniqueName="[staff].[Date Joined (Year)].[All]" allUniqueName="[staff].[Date Joined (Year)].[All]" dimensionUniqueName="[staff]" displayFolder="" count="0" memberValueDatatype="130" unbalanced="0"/>
    <cacheHierarchy uniqueName="[staff].[Date Joined (Quarter)]" caption="Date Joined (Quarter)" attribute="1" defaultMemberUniqueName="[staff].[Date Joined (Quarter)].[All]" allUniqueName="[staff].[Date Joined (Quarter)].[All]" dimensionUniqueName="[staff]" displayFolder="" count="0" memberValueDatatype="130" unbalanced="0"/>
    <cacheHierarchy uniqueName="[staff].[Date Joined (Month)]" caption="Date Joined (Month)" attribute="1" defaultMemberUniqueName="[staff].[Date Joined (Month)].[All]" allUniqueName="[staff].[Date Joined (Month)].[All]" dimensionUniqueName="[staff]" displayFolder="" count="0" memberValueDatatype="130" unbalanced="0"/>
    <cacheHierarchy uniqueName="[staff].[Date Joined (Month Index)]" caption="Date Joined (Month Index)" attribute="1" defaultMemberUniqueName="[staff].[Date Joined (Month Index)].[All]" allUniqueName="[staff].[Date Joined (Month Index)].[All]" dimensionUniqueName="[staff]" displayFolder="" count="0" memberValueDatatype="20" unbalanced="0" hidden="1"/>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Sum of Salary]" caption="Sum of Salary" measure="1" displayFolder="" measureGroup="staff"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staff"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staff" count="0" hidden="1">
      <extLst>
        <ext xmlns:x15="http://schemas.microsoft.com/office/spreadsheetml/2010/11/main" uri="{B97F6D7D-B522-45F9-BDA1-12C45D357490}">
          <x15:cacheHierarchy aggregatedColumn="2"/>
        </ext>
      </extLst>
    </cacheHierarchy>
    <cacheHierarchy uniqueName="[Measures].[Count of Name]" caption="Count of Name" measure="1" displayFolder="" measureGroup="staff"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staff" count="0" hidden="1">
      <extLst>
        <ext xmlns:x15="http://schemas.microsoft.com/office/spreadsheetml/2010/11/main" uri="{B97F6D7D-B522-45F9-BDA1-12C45D357490}">
          <x15:cacheHierarchy aggregatedColumn="2"/>
        </ext>
      </extLst>
    </cacheHierarchy>
    <cacheHierarchy uniqueName="[Measures].[Average of Salary]" caption="Average of Salary" measure="1" displayFolder="" measureGroup="staff" count="0" hidden="1">
      <extLst>
        <ext xmlns:x15="http://schemas.microsoft.com/office/spreadsheetml/2010/11/main" uri="{B97F6D7D-B522-45F9-BDA1-12C45D357490}">
          <x15:cacheHierarchy aggregatedColumn="6"/>
        </ext>
      </extLst>
    </cacheHierarchy>
    <cacheHierarchy uniqueName="[Measures].[Sum of Tenure]" caption="Sum of Tenure" measure="1" displayFolder="" measureGroup="staff" count="0" hidden="1">
      <extLst>
        <ext xmlns:x15="http://schemas.microsoft.com/office/spreadsheetml/2010/11/main" uri="{B97F6D7D-B522-45F9-BDA1-12C45D357490}">
          <x15:cacheHierarchy aggregatedColumn="8"/>
        </ext>
      </extLst>
    </cacheHierarchy>
    <cacheHierarchy uniqueName="[Measures].[Average of Tenure]" caption="Average of Tenure" measure="1" displayFolder="" measureGroup="staff"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67778251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3">
  <r>
    <s v="Gretchen Callow"/>
    <s v="Female"/>
    <n v="21"/>
    <x v="0"/>
    <d v="2022-04-27T00:00:00"/>
    <s v="Website"/>
    <x v="0"/>
    <s v="NZ"/>
    <n v="3.6136986301369864"/>
    <n v="1018"/>
    <m/>
  </r>
  <r>
    <s v="Shubhra Potla"/>
    <s v="Female"/>
    <n v="21"/>
    <x v="0"/>
    <d v="2022-02-27T00:00:00"/>
    <s v="Website"/>
    <x v="0"/>
    <s v="IND"/>
    <n v="3.7753424657534245"/>
    <n v="1018"/>
    <m/>
  </r>
  <r>
    <s v="Niall Selesnick"/>
    <s v="Female"/>
    <n v="29"/>
    <x v="0"/>
    <d v="2020-07-11T00:00:00"/>
    <s v="Website"/>
    <x v="1"/>
    <s v="NZ"/>
    <n v="5.4082191780821915"/>
    <n v="1050"/>
    <m/>
  </r>
  <r>
    <s v="Suchira Bhanupriya Tapti"/>
    <s v="Female"/>
    <n v="29"/>
    <x v="0"/>
    <d v="2020-05-11T00:00:00"/>
    <s v="Website"/>
    <x v="1"/>
    <s v="IND"/>
    <n v="5.5753424657534243"/>
    <n v="1050"/>
    <m/>
  </r>
  <r>
    <s v="Bili Sizey"/>
    <s v="Male"/>
    <n v="43"/>
    <x v="0"/>
    <d v="2022-02-28T00:00:00"/>
    <s v="Sales"/>
    <x v="2"/>
    <s v="NZ"/>
    <n v="3.7726027397260276"/>
    <n v="1082"/>
    <m/>
  </r>
  <r>
    <s v="Waheeda Vasuman"/>
    <s v="Male"/>
    <n v="43"/>
    <x v="0"/>
    <d v="2021-12-28T00:00:00"/>
    <s v="Sales"/>
    <x v="2"/>
    <s v="IND"/>
    <n v="3.9424657534246577"/>
    <n v="1082"/>
    <m/>
  </r>
  <r>
    <s v="Orton Livick"/>
    <s v="Male"/>
    <n v="21"/>
    <x v="0"/>
    <d v="2020-09-30T00:00:00"/>
    <s v="Procurement"/>
    <x v="3"/>
    <s v="NZ"/>
    <n v="5.1863013698630134"/>
    <n v="1138"/>
    <m/>
  </r>
  <r>
    <s v="Akbar Sorabhjee"/>
    <s v="Male"/>
    <n v="21"/>
    <x v="0"/>
    <d v="2020-07-30T00:00:00"/>
    <s v="Procurement"/>
    <x v="3"/>
    <s v="IND"/>
    <n v="5.3561643835616435"/>
    <n v="1138"/>
    <m/>
  </r>
  <r>
    <s v="Archibald Filliskirk"/>
    <s v="Male"/>
    <n v="35"/>
    <x v="0"/>
    <d v="2022-06-15T00:00:00"/>
    <s v="Procurement"/>
    <x v="4"/>
    <s v="NZ"/>
    <n v="3.4794520547945207"/>
    <n v="1212"/>
    <m/>
  </r>
  <r>
    <s v="Shobhana Samuel"/>
    <s v="Male"/>
    <n v="35"/>
    <x v="0"/>
    <d v="2022-04-15T00:00:00"/>
    <s v="Procurement"/>
    <x v="4"/>
    <s v="IND"/>
    <n v="3.6465753424657534"/>
    <n v="1212"/>
    <m/>
  </r>
  <r>
    <s v="Crissie Cordel"/>
    <s v="Female"/>
    <n v="32"/>
    <x v="0"/>
    <d v="2022-02-19T00:00:00"/>
    <s v="Procurement"/>
    <x v="5"/>
    <s v="NZ"/>
    <n v="3.7972602739726029"/>
    <n v="1248"/>
    <m/>
  </r>
  <r>
    <s v="Prerana Nishita"/>
    <s v="Female"/>
    <n v="32"/>
    <x v="0"/>
    <d v="2021-12-19T00:00:00"/>
    <s v="Procurement"/>
    <x v="5"/>
    <s v="IND"/>
    <n v="3.967123287671233"/>
    <n v="1248"/>
    <m/>
  </r>
  <r>
    <s v="Dotty Strutley"/>
    <s v="Female"/>
    <n v="31"/>
    <x v="0"/>
    <d v="2020-11-10T00:00:00"/>
    <s v="Website"/>
    <x v="6"/>
    <s v="NZ"/>
    <n v="5.0739726027397261"/>
    <n v="1260"/>
    <m/>
  </r>
  <r>
    <s v="Jagajeet Viraj"/>
    <s v="Female"/>
    <n v="31"/>
    <x v="0"/>
    <d v="2020-09-10T00:00:00"/>
    <s v="Website"/>
    <x v="6"/>
    <s v="IND"/>
    <n v="5.2410958904109588"/>
    <n v="1260"/>
    <m/>
  </r>
  <r>
    <s v="Drusy MacCombe"/>
    <s v="Male"/>
    <n v="28"/>
    <x v="1"/>
    <d v="2022-09-16T00:00:00"/>
    <s v="Sales"/>
    <x v="7"/>
    <s v="NZ"/>
    <n v="3.2246575342465755"/>
    <n v="1306"/>
    <m/>
  </r>
  <r>
    <s v="Rupak Mehra"/>
    <s v="Male"/>
    <n v="28"/>
    <x v="1"/>
    <d v="2022-07-16T00:00:00"/>
    <s v="Sales"/>
    <x v="7"/>
    <s v="IND"/>
    <n v="3.3945205479452056"/>
    <n v="1306"/>
    <m/>
  </r>
  <r>
    <s v="Kassi Jonson"/>
    <s v="Female"/>
    <n v="32"/>
    <x v="2"/>
    <d v="2021-06-07T00:00:00"/>
    <s v="Website"/>
    <x v="8"/>
    <s v="NZ"/>
    <n v="4.5013698630136982"/>
    <n v="1316"/>
    <m/>
  </r>
  <r>
    <s v="Yagna Sujeev"/>
    <s v="Female"/>
    <n v="32"/>
    <x v="2"/>
    <d v="2021-04-07T00:00:00"/>
    <s v="Website"/>
    <x v="8"/>
    <s v="IND"/>
    <n v="4.6684931506849319"/>
    <n v="1316"/>
    <m/>
  </r>
  <r>
    <s v="Florinda Crace"/>
    <s v="Female"/>
    <n v="32"/>
    <x v="0"/>
    <d v="2021-07-23T00:00:00"/>
    <s v="HR"/>
    <x v="9"/>
    <s v="NZ"/>
    <n v="4.375342465753425"/>
    <n v="1366"/>
    <m/>
  </r>
  <r>
    <s v="Madhavdas Buhpathi"/>
    <s v="Female"/>
    <n v="32"/>
    <x v="0"/>
    <d v="2021-05-23T00:00:00"/>
    <s v="HR"/>
    <x v="9"/>
    <s v="IND"/>
    <n v="4.5424657534246577"/>
    <n v="1366"/>
    <m/>
  </r>
  <r>
    <s v="Dell Molloy"/>
    <s v="Male"/>
    <n v="26"/>
    <x v="0"/>
    <d v="2021-01-29T00:00:00"/>
    <s v="Procurement"/>
    <x v="10"/>
    <s v="NZ"/>
    <n v="4.8547945205479452"/>
    <n v="1421"/>
    <m/>
  </r>
  <r>
    <s v="Shiuli Sapna"/>
    <s v="Male"/>
    <n v="26"/>
    <x v="0"/>
    <d v="2020-11-29T00:00:00"/>
    <s v="Procurement"/>
    <x v="10"/>
    <s v="IND"/>
    <n v="5.021917808219178"/>
    <n v="1421"/>
    <m/>
  </r>
  <r>
    <s v="Jan Morforth"/>
    <s v="Male"/>
    <n v="28"/>
    <x v="2"/>
    <d v="2020-07-29T00:00:00"/>
    <s v="Finance"/>
    <x v="11"/>
    <s v="NZ"/>
    <n v="5.3589041095890408"/>
    <n v="1446"/>
    <m/>
  </r>
  <r>
    <s v="Ardhendu Abhichandra Jayakar"/>
    <s v="Male"/>
    <n v="28"/>
    <x v="2"/>
    <d v="2020-05-29T00:00:00"/>
    <s v="Finance"/>
    <x v="11"/>
    <s v="IND"/>
    <n v="5.5260273972602736"/>
    <n v="1446"/>
    <m/>
  </r>
  <r>
    <s v="Erin Androsik"/>
    <s v="Male"/>
    <n v="33"/>
    <x v="2"/>
    <d v="2022-05-20T00:00:00"/>
    <s v="Procurement"/>
    <x v="12"/>
    <s v="NZ"/>
    <n v="3.5506849315068494"/>
    <n v="1456"/>
    <m/>
  </r>
  <r>
    <s v="Piyali Mahanthapa"/>
    <s v="Male"/>
    <n v="33"/>
    <x v="2"/>
    <d v="2022-03-20T00:00:00"/>
    <s v="Procurement"/>
    <x v="12"/>
    <s v="IND"/>
    <n v="3.7178082191780821"/>
    <n v="1456"/>
    <m/>
  </r>
  <r>
    <s v="Gunar Cockshoot"/>
    <s v="Male"/>
    <n v="31"/>
    <x v="0"/>
    <d v="2021-11-11T00:00:00"/>
    <s v="Website"/>
    <x v="13"/>
    <s v="NZ"/>
    <n v="4.0712328767123287"/>
    <n v="1469"/>
    <m/>
  </r>
  <r>
    <s v="Amal Nimesh"/>
    <s v="Male"/>
    <n v="31"/>
    <x v="0"/>
    <d v="2021-09-11T00:00:00"/>
    <s v="Website"/>
    <x v="13"/>
    <s v="IND"/>
    <n v="4.2383561643835614"/>
    <n v="1469"/>
    <m/>
  </r>
  <r>
    <s v="Esmaria Denecamp"/>
    <s v="Male"/>
    <n v="27"/>
    <x v="0"/>
    <d v="2022-01-06T00:00:00"/>
    <s v="Finance"/>
    <x v="14"/>
    <s v="NZ"/>
    <n v="3.9178082191780823"/>
    <n v="1470"/>
    <m/>
  </r>
  <r>
    <s v="Vanmala Shriharsha"/>
    <s v="Male"/>
    <n v="27"/>
    <x v="0"/>
    <d v="2021-11-06T00:00:00"/>
    <s v="Finance"/>
    <x v="14"/>
    <s v="IND"/>
    <n v="4.0849315068493155"/>
    <n v="1470"/>
    <m/>
  </r>
  <r>
    <s v="Violante Courtonne"/>
    <s v="Female"/>
    <n v="34"/>
    <x v="3"/>
    <d v="2022-06-09T00:00:00"/>
    <s v="Sales"/>
    <x v="15"/>
    <s v="NZ"/>
    <n v="3.495890410958904"/>
    <n v="1489"/>
    <m/>
  </r>
  <r>
    <s v="Daruka Ghazali"/>
    <s v="Female"/>
    <n v="34"/>
    <x v="3"/>
    <d v="2022-04-09T00:00:00"/>
    <s v="Sales"/>
    <x v="15"/>
    <s v="IND"/>
    <n v="3.6630136986301371"/>
    <n v="1489"/>
    <m/>
  </r>
  <r>
    <s v="Kaye Crocroft"/>
    <s v="Male"/>
    <n v="24"/>
    <x v="3"/>
    <d v="2021-08-28T00:00:00"/>
    <s v="Finance"/>
    <x v="16"/>
    <s v="NZ"/>
    <n v="4.2767123287671236"/>
    <n v="1579"/>
    <m/>
  </r>
  <r>
    <s v="Gumwant Veera"/>
    <s v="Male"/>
    <n v="24"/>
    <x v="3"/>
    <d v="2021-06-28T00:00:00"/>
    <s v="Finance"/>
    <x v="16"/>
    <s v="IND"/>
    <n v="4.4438356164383563"/>
    <n v="1579"/>
    <m/>
  </r>
  <r>
    <s v="Tatum Hush"/>
    <s v="Female"/>
    <n v="28"/>
    <x v="0"/>
    <d v="2021-06-10T00:00:00"/>
    <s v="Sales"/>
    <x v="17"/>
    <s v="NZ"/>
    <n v="4.493150684931507"/>
    <n v="1598"/>
    <m/>
  </r>
  <r>
    <s v="Anumati Shyamari Meherhomji"/>
    <s v="Female"/>
    <n v="28"/>
    <x v="0"/>
    <d v="2021-04-10T00:00:00"/>
    <s v="Sales"/>
    <x v="17"/>
    <s v="IND"/>
    <n v="4.6602739726027398"/>
    <n v="1598"/>
    <m/>
  </r>
  <r>
    <s v="Hoyt D'Alesco"/>
    <s v="Male"/>
    <n v="32"/>
    <x v="0"/>
    <d v="2021-09-26T00:00:00"/>
    <s v="Sales"/>
    <x v="18"/>
    <s v="NZ"/>
    <n v="4.1972602739726028"/>
    <n v="1607"/>
    <m/>
  </r>
  <r>
    <s v="Zach Polon"/>
    <s v="Male"/>
    <n v="26"/>
    <x v="0"/>
    <d v="2021-08-03T00:00:00"/>
    <s v="Procurement"/>
    <x v="18"/>
    <s v="NZ"/>
    <n v="4.3452054794520549"/>
    <n v="1607"/>
    <m/>
  </r>
  <r>
    <s v="Geena Raghavanpillai"/>
    <s v="Male"/>
    <n v="32"/>
    <x v="0"/>
    <d v="2021-07-26T00:00:00"/>
    <s v="Sales"/>
    <x v="18"/>
    <s v="IND"/>
    <n v="4.3671232876712329"/>
    <n v="1607"/>
    <m/>
  </r>
  <r>
    <s v="Chitrasen Laul"/>
    <s v="Male"/>
    <n v="26"/>
    <x v="0"/>
    <d v="2021-06-03T00:00:00"/>
    <s v="Procurement"/>
    <x v="18"/>
    <s v="IND"/>
    <n v="4.5123287671232877"/>
    <n v="1607"/>
    <m/>
  </r>
  <r>
    <s v="William Reeveley"/>
    <s v="Male"/>
    <n v="33"/>
    <x v="0"/>
    <d v="2021-11-09T00:00:00"/>
    <s v="Website"/>
    <x v="19"/>
    <s v="NZ"/>
    <n v="4.0767123287671234"/>
    <n v="1617"/>
    <m/>
  </r>
  <r>
    <s v="Pragya Nilufar"/>
    <s v="Male"/>
    <n v="33"/>
    <x v="0"/>
    <d v="2021-09-09T00:00:00"/>
    <s v="Website"/>
    <x v="19"/>
    <s v="IND"/>
    <n v="4.2438356164383562"/>
    <n v="1617"/>
    <m/>
  </r>
  <r>
    <s v="Alta Kaszper"/>
    <s v="Male"/>
    <n v="27"/>
    <x v="0"/>
    <d v="2020-10-30T00:00:00"/>
    <s v="Sales"/>
    <x v="20"/>
    <s v="NZ"/>
    <n v="5.1041095890410961"/>
    <n v="1650"/>
    <m/>
  </r>
  <r>
    <s v="Sanchali Shirish"/>
    <s v="Male"/>
    <n v="27"/>
    <x v="0"/>
    <d v="2020-08-30T00:00:00"/>
    <s v="Sales"/>
    <x v="20"/>
    <s v="IND"/>
    <n v="5.2712328767123289"/>
    <n v="1650"/>
    <m/>
  </r>
  <r>
    <s v="Oran Buxcy"/>
    <s v="Female"/>
    <n v="38"/>
    <x v="2"/>
    <d v="2021-05-13T00:00:00"/>
    <s v="Sales"/>
    <x v="21"/>
    <s v="NZ"/>
    <n v="4.5698630136986305"/>
    <n v="1707"/>
    <m/>
  </r>
  <r>
    <s v="Mirium Seemantini Shivakumar"/>
    <s v="Female"/>
    <n v="38"/>
    <x v="2"/>
    <d v="2021-03-13T00:00:00"/>
    <s v="Sales"/>
    <x v="21"/>
    <s v="IND"/>
    <n v="4.7369863013698632"/>
    <n v="1707"/>
    <m/>
  </r>
  <r>
    <s v="Kelci Walkden"/>
    <s v="Male"/>
    <n v="21"/>
    <x v="0"/>
    <d v="2022-07-20T00:00:00"/>
    <s v="Procurement"/>
    <x v="22"/>
    <s v="NZ"/>
    <n v="3.3835616438356166"/>
    <n v="1713"/>
    <m/>
  </r>
  <r>
    <s v="Shattesh Utpat"/>
    <s v="Male"/>
    <n v="21"/>
    <x v="0"/>
    <d v="2022-05-20T00:00:00"/>
    <s v="Procurement"/>
    <x v="22"/>
    <s v="IND"/>
    <n v="3.5506849315068494"/>
    <n v="1713"/>
    <m/>
  </r>
  <r>
    <s v="Brien Boise"/>
    <s v="Female"/>
    <n v="31"/>
    <x v="0"/>
    <d v="2022-04-12T00:00:00"/>
    <s v="Website"/>
    <x v="23"/>
    <s v="NZ"/>
    <n v="3.6547945205479451"/>
    <n v="1743"/>
    <m/>
  </r>
  <r>
    <s v="Pratigya Rema"/>
    <s v="Female"/>
    <n v="31"/>
    <x v="0"/>
    <d v="2022-02-12T00:00:00"/>
    <s v="Website"/>
    <x v="23"/>
    <s v="IND"/>
    <n v="3.8164383561643835"/>
    <n v="1743"/>
    <m/>
  </r>
  <r>
    <s v="Oby Sorrel"/>
    <s v="Female"/>
    <n v="34"/>
    <x v="0"/>
    <d v="2022-04-02T00:00:00"/>
    <s v="Finance"/>
    <x v="24"/>
    <s v="NZ"/>
    <n v="3.6821917808219178"/>
    <n v="1769"/>
    <m/>
  </r>
  <r>
    <s v="Krittika Gaekwad"/>
    <s v="Female"/>
    <n v="34"/>
    <x v="0"/>
    <d v="2022-02-02T00:00:00"/>
    <s v="Finance"/>
    <x v="24"/>
    <s v="IND"/>
    <n v="3.8438356164383563"/>
    <n v="1769"/>
    <m/>
  </r>
  <r>
    <s v="Lilyan Klimpt"/>
    <s v="Male"/>
    <n v="19"/>
    <x v="0"/>
    <d v="2021-03-22T00:00:00"/>
    <s v="Procurement"/>
    <x v="25"/>
    <s v="NZ"/>
    <n v="4.7123287671232879"/>
    <n v="1769"/>
    <m/>
  </r>
  <r>
    <s v="Vinanti Choudhari"/>
    <s v="Male"/>
    <n v="19"/>
    <x v="0"/>
    <d v="2021-01-22T00:00:00"/>
    <s v="Procurement"/>
    <x v="25"/>
    <s v="IND"/>
    <n v="4.8739726027397259"/>
    <n v="1769"/>
    <m/>
  </r>
  <r>
    <s v="My Hanscome"/>
    <s v="Male"/>
    <n v="33"/>
    <x v="0"/>
    <d v="2021-02-16T00:00:00"/>
    <s v="Finance"/>
    <x v="26"/>
    <s v="NZ"/>
    <n v="4.8054794520547945"/>
    <n v="1783"/>
    <m/>
  </r>
  <r>
    <s v="Asija Pothireddy"/>
    <s v="Male"/>
    <n v="33"/>
    <x v="0"/>
    <d v="2020-12-16T00:00:00"/>
    <s v="Finance"/>
    <x v="26"/>
    <s v="IND"/>
    <n v="4.9753424657534246"/>
    <n v="1783"/>
    <m/>
  </r>
  <r>
    <s v="Jehu Rudeforth"/>
    <s v="Female"/>
    <n v="34"/>
    <x v="0"/>
    <d v="2022-02-20T00:00:00"/>
    <s v="Finance"/>
    <x v="27"/>
    <s v="NZ"/>
    <n v="3.7945205479452055"/>
    <n v="1804"/>
    <m/>
  </r>
  <r>
    <s v="Lalit Kothari"/>
    <s v="Female"/>
    <n v="34"/>
    <x v="0"/>
    <d v="2021-12-20T00:00:00"/>
    <s v="Finance"/>
    <x v="27"/>
    <s v="IND"/>
    <n v="3.9643835616438357"/>
    <n v="1804"/>
    <m/>
  </r>
  <r>
    <s v="Mallorie Waber"/>
    <s v="Male"/>
    <n v="30"/>
    <x v="0"/>
    <d v="2022-04-15T00:00:00"/>
    <s v="Procurement"/>
    <x v="28"/>
    <s v="NZ"/>
    <n v="3.6465753424657534"/>
    <n v="1818"/>
    <m/>
  </r>
  <r>
    <s v="Mardav Ramaswami"/>
    <s v="Male"/>
    <n v="30"/>
    <x v="0"/>
    <d v="2022-02-15T00:00:00"/>
    <s v="Procurement"/>
    <x v="28"/>
    <s v="IND"/>
    <n v="3.8082191780821919"/>
    <n v="1818"/>
    <m/>
  </r>
  <r>
    <s v="Vic Radolf"/>
    <s v="Female"/>
    <n v="24"/>
    <x v="0"/>
    <d v="2020-11-13T00:00:00"/>
    <s v="Website"/>
    <x v="29"/>
    <s v="NZ"/>
    <n v="5.065753424657534"/>
    <n v="1884"/>
    <m/>
  </r>
  <r>
    <s v="Fullara Sushanti Mokate"/>
    <s v="Female"/>
    <n v="24"/>
    <x v="0"/>
    <d v="2020-09-13T00:00:00"/>
    <s v="Website"/>
    <x v="29"/>
    <s v="IND"/>
    <n v="5.2328767123287667"/>
    <n v="1884"/>
    <m/>
  </r>
  <r>
    <s v="Curtice Advani"/>
    <s v="Other"/>
    <n v="30"/>
    <x v="0"/>
    <d v="2022-02-05T00:00:00"/>
    <s v="Finance"/>
    <x v="30"/>
    <s v="NZ"/>
    <n v="3.8356164383561642"/>
    <n v="1920"/>
    <m/>
  </r>
  <r>
    <s v="Upendra Swati"/>
    <s v="Other"/>
    <n v="30"/>
    <x v="0"/>
    <d v="2021-12-05T00:00:00"/>
    <s v="Finance"/>
    <x v="30"/>
    <s v="IND"/>
    <n v="4.0054794520547947"/>
    <n v="1920"/>
    <m/>
  </r>
  <r>
    <s v="Teressa Udden"/>
    <s v="Female"/>
    <n v="33"/>
    <x v="0"/>
    <d v="2020-08-24T00:00:00"/>
    <s v="Finance"/>
    <x v="31"/>
    <s v="NZ"/>
    <n v="5.2876712328767121"/>
    <n v="1961"/>
    <m/>
  </r>
  <r>
    <s v="Kevalkumar Solanki"/>
    <s v="Female"/>
    <n v="33"/>
    <x v="0"/>
    <d v="2020-06-24T00:00:00"/>
    <s v="Finance"/>
    <x v="31"/>
    <s v="IND"/>
    <n v="5.4547945205479449"/>
    <n v="1961"/>
    <m/>
  </r>
  <r>
    <s v="Kath Bletsoe"/>
    <s v="Male"/>
    <n v="25"/>
    <x v="0"/>
    <d v="2021-07-06T00:00:00"/>
    <s v="Sales"/>
    <x v="32"/>
    <s v="NZ"/>
    <n v="4.4219178082191783"/>
    <n v="1971"/>
    <m/>
  </r>
  <r>
    <s v="Abhaya Priyavardhan"/>
    <s v="Male"/>
    <n v="25"/>
    <x v="0"/>
    <d v="2021-05-06T00:00:00"/>
    <s v="Sales"/>
    <x v="32"/>
    <s v="IND"/>
    <n v="4.5890410958904111"/>
    <n v="1971"/>
    <m/>
  </r>
  <r>
    <s v="Marney O'Breen"/>
    <s v="Female"/>
    <n v="21"/>
    <x v="0"/>
    <d v="2021-05-01T00:00:00"/>
    <s v="Finance"/>
    <x v="33"/>
    <s v="NZ"/>
    <n v="4.602739726027397"/>
    <n v="1978"/>
    <m/>
  </r>
  <r>
    <s v="Agrata Rajarama"/>
    <s v="Female"/>
    <n v="21"/>
    <x v="0"/>
    <d v="2021-03-01T00:00:00"/>
    <s v="Finance"/>
    <x v="33"/>
    <s v="IND"/>
    <n v="4.7698630136986298"/>
    <n v="1978"/>
    <m/>
  </r>
  <r>
    <s v="Husein Augar"/>
    <s v="Female"/>
    <n v="30"/>
    <x v="3"/>
    <d v="2021-07-12T00:00:00"/>
    <s v="Finance"/>
    <x v="34"/>
    <s v="NZ"/>
    <n v="4.4054794520547942"/>
    <n v="2038"/>
    <m/>
  </r>
  <r>
    <s v="Kantimoy Pritish"/>
    <s v="Female"/>
    <n v="30"/>
    <x v="3"/>
    <d v="2021-05-12T00:00:00"/>
    <s v="Finance"/>
    <x v="34"/>
    <s v="IND"/>
    <n v="4.5726027397260278"/>
    <n v="2038"/>
    <m/>
  </r>
  <r>
    <s v="Ebonee Roxburgh"/>
    <s v="Male"/>
    <n v="30"/>
    <x v="0"/>
    <d v="2022-05-20T00:00:00"/>
    <s v="Procurement"/>
    <x v="35"/>
    <s v="NZ"/>
    <n v="3.5506849315068494"/>
    <n v="2039"/>
    <m/>
  </r>
  <r>
    <s v="Mahindra Sreedharan"/>
    <s v="Male"/>
    <n v="30"/>
    <x v="0"/>
    <d v="2022-03-20T00:00:00"/>
    <s v="Procurement"/>
    <x v="35"/>
    <s v="IND"/>
    <n v="3.7178082191780821"/>
    <n v="2039"/>
    <m/>
  </r>
  <r>
    <s v="Hyacinthie Braybrooke"/>
    <s v="Female"/>
    <n v="20"/>
    <x v="3"/>
    <d v="2021-12-07T00:00:00"/>
    <s v="Sales"/>
    <x v="36"/>
    <s v="NZ"/>
    <n v="4"/>
    <n v="2067"/>
    <m/>
  </r>
  <r>
    <s v="Devasree Fullara Saurin"/>
    <s v="Female"/>
    <n v="20"/>
    <x v="3"/>
    <d v="2021-10-07T00:00:00"/>
    <s v="Sales"/>
    <x v="36"/>
    <s v="IND"/>
    <n v="4.1671232876712327"/>
    <n v="2067"/>
    <m/>
  </r>
  <r>
    <s v="Murry Dryburgh"/>
    <s v="Male"/>
    <n v="37"/>
    <x v="0"/>
    <d v="2022-05-20T00:00:00"/>
    <s v="Website"/>
    <x v="37"/>
    <s v="NZ"/>
    <n v="3.5506849315068494"/>
    <n v="2073"/>
    <m/>
  </r>
  <r>
    <s v="Jaishree Atasi Yavatkar"/>
    <s v="Male"/>
    <n v="37"/>
    <x v="0"/>
    <d v="2022-03-20T00:00:00"/>
    <s v="Website"/>
    <x v="37"/>
    <s v="IND"/>
    <n v="3.7178082191780821"/>
    <n v="2073"/>
    <m/>
  </r>
  <r>
    <s v="Andria Kimpton"/>
    <s v="Male"/>
    <n v="30"/>
    <x v="0"/>
    <d v="2021-03-18T00:00:00"/>
    <s v="Website"/>
    <x v="38"/>
    <s v="NZ"/>
    <n v="4.7232876712328764"/>
    <n v="2074"/>
    <m/>
  </r>
  <r>
    <s v="Rameshwari Chikodi"/>
    <s v="Male"/>
    <n v="30"/>
    <x v="0"/>
    <d v="2021-01-18T00:00:00"/>
    <s v="Website"/>
    <x v="38"/>
    <s v="IND"/>
    <n v="4.8849315068493153"/>
    <n v="2074"/>
    <m/>
  </r>
  <r>
    <s v="Myer McCory"/>
    <s v="Male"/>
    <n v="30"/>
    <x v="0"/>
    <d v="2022-10-16T00:00:00"/>
    <s v="Website"/>
    <x v="39"/>
    <s v="NZ"/>
    <n v="3.1424657534246574"/>
    <n v="2092"/>
    <m/>
  </r>
  <r>
    <s v="Shekhar Eswara"/>
    <s v="Male"/>
    <n v="30"/>
    <x v="0"/>
    <d v="2022-08-16T00:00:00"/>
    <s v="Website"/>
    <x v="39"/>
    <s v="IND"/>
    <n v="3.3095890410958906"/>
    <n v="2092"/>
    <m/>
  </r>
  <r>
    <s v="Shayne Stegel"/>
    <s v="Male"/>
    <n v="42"/>
    <x v="3"/>
    <d v="2022-06-19T00:00:00"/>
    <s v="Finance"/>
    <x v="40"/>
    <s v="NZ"/>
    <n v="3.4684931506849317"/>
    <n v="2109"/>
    <m/>
  </r>
  <r>
    <s v="Chandana Sannidhi Surnilla"/>
    <s v="Male"/>
    <n v="42"/>
    <x v="3"/>
    <d v="2022-04-19T00:00:00"/>
    <s v="Finance"/>
    <x v="40"/>
    <s v="IND"/>
    <n v="3.6356164383561644"/>
    <n v="2109"/>
    <m/>
  </r>
  <r>
    <s v="Ambros Murthwaite"/>
    <s v="Male"/>
    <n v="46"/>
    <x v="0"/>
    <d v="2022-07-16T00:00:00"/>
    <s v="Procurement"/>
    <x v="41"/>
    <s v="NZ"/>
    <n v="3.3945205479452056"/>
    <n v="2119"/>
    <m/>
  </r>
  <r>
    <s v="Ranajay Kailashnath Richa"/>
    <s v="Male"/>
    <n v="46"/>
    <x v="0"/>
    <d v="2022-05-16T00:00:00"/>
    <s v="Procurement"/>
    <x v="41"/>
    <s v="IND"/>
    <n v="3.5616438356164384"/>
    <n v="2119"/>
    <m/>
  </r>
  <r>
    <s v="Bennie Pepis"/>
    <s v="Male"/>
    <n v="36"/>
    <x v="0"/>
    <d v="2021-05-17T00:00:00"/>
    <s v="Finance"/>
    <x v="42"/>
    <s v="NZ"/>
    <n v="4.558904109589041"/>
    <n v="2142"/>
    <m/>
  </r>
  <r>
    <s v="Kulbhushan Moorthy"/>
    <s v="Male"/>
    <n v="36"/>
    <x v="0"/>
    <d v="2021-03-17T00:00:00"/>
    <s v="Finance"/>
    <x v="42"/>
    <s v="IND"/>
    <n v="4.7260273972602738"/>
    <n v="2142"/>
    <m/>
  </r>
  <r>
    <s v="Gigi Bohling"/>
    <s v="Male"/>
    <n v="33"/>
    <x v="0"/>
    <d v="2021-07-08T00:00:00"/>
    <s v="Sales"/>
    <x v="43"/>
    <s v="NZ"/>
    <n v="4.4164383561643836"/>
    <n v="2237"/>
    <m/>
  </r>
  <r>
    <s v="Yauvani Tarpa"/>
    <s v="Male"/>
    <n v="33"/>
    <x v="0"/>
    <d v="2021-05-08T00:00:00"/>
    <s v="Sales"/>
    <x v="43"/>
    <s v="IND"/>
    <n v="4.5835616438356164"/>
    <n v="2237"/>
    <m/>
  </r>
  <r>
    <s v="Barr Faughny"/>
    <s v="Female"/>
    <n v="42"/>
    <x v="4"/>
    <d v="2022-08-06T00:00:00"/>
    <s v="Procurement"/>
    <x v="44"/>
    <s v="NZ"/>
    <n v="3.3369863013698629"/>
    <n v="2250"/>
    <m/>
  </r>
  <r>
    <s v="Nanak Sapna"/>
    <s v="Female"/>
    <n v="42"/>
    <x v="4"/>
    <d v="2022-06-06T00:00:00"/>
    <s v="Procurement"/>
    <x v="44"/>
    <s v="IND"/>
    <n v="3.504109589041096"/>
    <n v="2250"/>
    <m/>
  </r>
  <r>
    <s v="Elia Cockton"/>
    <s v="Female"/>
    <n v="33"/>
    <x v="0"/>
    <d v="2021-04-26T00:00:00"/>
    <s v="Website"/>
    <x v="45"/>
    <s v="NZ"/>
    <n v="4.6164383561643838"/>
    <n v="2259"/>
    <m/>
  </r>
  <r>
    <s v="Hemavati Muthiah"/>
    <s v="Female"/>
    <n v="33"/>
    <x v="0"/>
    <d v="2021-02-26T00:00:00"/>
    <s v="Website"/>
    <x v="45"/>
    <s v="IND"/>
    <n v="4.7780821917808218"/>
    <n v="2259"/>
    <m/>
  </r>
  <r>
    <s v="Camilla Castle"/>
    <s v="Female"/>
    <n v="33"/>
    <x v="1"/>
    <d v="2021-06-27T00:00:00"/>
    <s v="Website"/>
    <x v="46"/>
    <s v="NZ"/>
    <n v="4.4465753424657537"/>
    <n v="2265"/>
    <m/>
  </r>
  <r>
    <s v="Ayog Chakrabarti"/>
    <s v="Female"/>
    <n v="33"/>
    <x v="1"/>
    <d v="2021-04-27T00:00:00"/>
    <s v="Website"/>
    <x v="46"/>
    <s v="IND"/>
    <n v="4.6136986301369864"/>
    <n v="2265"/>
    <m/>
  </r>
  <r>
    <s v="Shari McNee"/>
    <s v="Male"/>
    <n v="21"/>
    <x v="0"/>
    <d v="2021-02-15T00:00:00"/>
    <s v="HR"/>
    <x v="47"/>
    <s v="NZ"/>
    <n v="4.8082191780821919"/>
    <n v="2277"/>
    <m/>
  </r>
  <r>
    <s v="Sameer Shashank Sapra"/>
    <s v="Male"/>
    <n v="21"/>
    <x v="0"/>
    <d v="2020-12-15T00:00:00"/>
    <s v="HR"/>
    <x v="47"/>
    <s v="IND"/>
    <n v="4.978082191780822"/>
    <n v="2277"/>
    <m/>
  </r>
  <r>
    <s v="Beverie Moffet"/>
    <s v="Female"/>
    <n v="28"/>
    <x v="0"/>
    <d v="2020-12-20T00:00:00"/>
    <s v="Finance"/>
    <x v="48"/>
    <s v="NZ"/>
    <n v="4.9643835616438352"/>
    <n v="2280"/>
    <m/>
  </r>
  <r>
    <s v="Indu Varada Sumedh"/>
    <s v="Female"/>
    <n v="28"/>
    <x v="0"/>
    <d v="2020-10-20T00:00:00"/>
    <s v="Finance"/>
    <x v="48"/>
    <s v="IND"/>
    <n v="5.1315068493150688"/>
    <n v="2280"/>
    <m/>
  </r>
  <r>
    <s v="Virginia McConville"/>
    <s v="Female"/>
    <n v="22"/>
    <x v="2"/>
    <d v="2021-09-11T00:00:00"/>
    <s v="Procurement"/>
    <x v="49"/>
    <s v="NZ"/>
    <n v="4.2383561643835614"/>
    <n v="2307"/>
    <m/>
  </r>
  <r>
    <s v="Shreela Ramasubraman"/>
    <s v="Female"/>
    <n v="22"/>
    <x v="2"/>
    <d v="2021-07-11T00:00:00"/>
    <s v="Procurement"/>
    <x v="49"/>
    <s v="IND"/>
    <n v="4.4082191780821915"/>
    <n v="2307"/>
    <m/>
  </r>
  <r>
    <s v="Allene Gobbet"/>
    <s v="Female"/>
    <n v="36"/>
    <x v="0"/>
    <d v="2021-11-29T00:00:00"/>
    <s v="Procurement"/>
    <x v="50"/>
    <s v="NZ"/>
    <n v="4.021917808219178"/>
    <n v="2352"/>
    <m/>
  </r>
  <r>
    <s v="Rushil Kripa"/>
    <s v="Female"/>
    <n v="36"/>
    <x v="0"/>
    <d v="2021-09-29T00:00:00"/>
    <s v="Procurement"/>
    <x v="50"/>
    <s v="IND"/>
    <n v="4.1890410958904107"/>
    <n v="2352"/>
    <m/>
  </r>
  <r>
    <s v="Gray Seamon"/>
    <s v="Female"/>
    <n v="36"/>
    <x v="0"/>
    <d v="2021-10-25T00:00:00"/>
    <s v="Sales"/>
    <x v="51"/>
    <s v="NZ"/>
    <n v="4.117808219178082"/>
    <n v="2357"/>
    <m/>
  </r>
  <r>
    <s v="Shulabh Qutub Sundaramoorthy"/>
    <s v="Female"/>
    <n v="36"/>
    <x v="0"/>
    <d v="2021-08-25T00:00:00"/>
    <s v="Sales"/>
    <x v="51"/>
    <s v="IND"/>
    <n v="4.2849315068493148"/>
    <n v="2357"/>
    <m/>
  </r>
  <r>
    <s v="Kellsie Waby"/>
    <s v="Male"/>
    <n v="20"/>
    <x v="0"/>
    <d v="2022-07-02T00:00:00"/>
    <s v="Procurement"/>
    <x v="52"/>
    <s v="NZ"/>
    <n v="3.4328767123287673"/>
    <n v="2388"/>
    <m/>
  </r>
  <r>
    <s v="Udyan Lanka"/>
    <s v="Male"/>
    <n v="20"/>
    <x v="0"/>
    <d v="2022-05-02T00:00:00"/>
    <s v="Procurement"/>
    <x v="52"/>
    <s v="IND"/>
    <n v="3.6"/>
    <n v="2388"/>
    <m/>
  </r>
  <r>
    <s v="Van Tuxwell"/>
    <s v="Female"/>
    <n v="25"/>
    <x v="2"/>
    <d v="2022-05-13T00:00:00"/>
    <s v="Website"/>
    <x v="53"/>
    <s v="NZ"/>
    <n v="3.56986301369863"/>
    <n v="2421"/>
    <m/>
  </r>
  <r>
    <s v="Bhuvan Pals"/>
    <s v="Female"/>
    <n v="25"/>
    <x v="2"/>
    <d v="2022-03-13T00:00:00"/>
    <s v="Website"/>
    <x v="53"/>
    <s v="IND"/>
    <n v="3.7369863013698632"/>
    <n v="2421"/>
    <m/>
  </r>
  <r>
    <s v="Agnes Collicott"/>
    <s v="Female"/>
    <n v="27"/>
    <x v="0"/>
    <d v="2022-05-05T00:00:00"/>
    <s v="Website"/>
    <x v="54"/>
    <s v="NZ"/>
    <n v="3.591780821917808"/>
    <n v="2513"/>
    <m/>
  </r>
  <r>
    <s v="Kunja Prashanta Vibha"/>
    <s v="Female"/>
    <n v="27"/>
    <x v="0"/>
    <d v="2022-03-05T00:00:00"/>
    <s v="Website"/>
    <x v="54"/>
    <s v="IND"/>
    <n v="3.7589041095890412"/>
    <n v="2513"/>
    <m/>
  </r>
  <r>
    <s v="Karlen McCaffrey"/>
    <s v="Female"/>
    <n v="34"/>
    <x v="0"/>
    <d v="2021-09-20T00:00:00"/>
    <s v="Finance"/>
    <x v="55"/>
    <s v="NZ"/>
    <n v="4.2136986301369861"/>
    <n v="2550"/>
    <m/>
  </r>
  <r>
    <s v="Tarala Vishaal"/>
    <s v="Female"/>
    <n v="34"/>
    <x v="0"/>
    <d v="2021-07-20T00:00:00"/>
    <s v="Finance"/>
    <x v="55"/>
    <s v="IND"/>
    <n v="4.3835616438356162"/>
    <n v="2550"/>
    <m/>
  </r>
  <r>
    <s v="Sibyl Dunkirk"/>
    <s v="Female"/>
    <n v="33"/>
    <x v="0"/>
    <d v="2022-09-05T00:00:00"/>
    <s v="Finance"/>
    <x v="56"/>
    <s v="NZ"/>
    <n v="3.2547945205479452"/>
    <n v="2598"/>
    <m/>
  </r>
  <r>
    <s v="Madhumati Gazala Soumitra"/>
    <s v="Female"/>
    <n v="33"/>
    <x v="0"/>
    <d v="2022-07-05T00:00:00"/>
    <s v="Finance"/>
    <x v="56"/>
    <s v="IND"/>
    <n v="3.4246575342465753"/>
    <n v="2598"/>
    <m/>
  </r>
  <r>
    <s v="Merrilee Plenty"/>
    <s v="Female"/>
    <n v="40"/>
    <x v="0"/>
    <d v="2021-05-21T00:00:00"/>
    <s v="Website"/>
    <x v="57"/>
    <s v="NZ"/>
    <n v="4.5479452054794525"/>
    <n v="2629"/>
    <m/>
  </r>
  <r>
    <s v="Godavari Veena"/>
    <s v="Female"/>
    <n v="40"/>
    <x v="0"/>
    <d v="2021-03-21T00:00:00"/>
    <s v="Website"/>
    <x v="57"/>
    <s v="IND"/>
    <n v="4.7150684931506852"/>
    <n v="2629"/>
    <m/>
  </r>
  <r>
    <s v="Ches Bonnell"/>
    <s v="Male"/>
    <n v="37"/>
    <x v="3"/>
    <d v="2021-05-22T00:00:00"/>
    <s v="Website"/>
    <x v="58"/>
    <s v="NZ"/>
    <n v="4.5452054794520551"/>
    <n v="2642"/>
    <m/>
  </r>
  <r>
    <s v="Gangadutt Ragha"/>
    <s v="Male"/>
    <n v="37"/>
    <x v="3"/>
    <d v="2021-03-22T00:00:00"/>
    <s v="Website"/>
    <x v="58"/>
    <s v="IND"/>
    <n v="4.7123287671232879"/>
    <n v="2642"/>
    <m/>
  </r>
  <r>
    <s v="Dennison Crosswaite"/>
    <s v="Other"/>
    <n v="26"/>
    <x v="2"/>
    <d v="2021-03-16T00:00:00"/>
    <s v="Website"/>
    <x v="59"/>
    <s v="NZ"/>
    <n v="4.7287671232876711"/>
    <n v="2721"/>
    <m/>
  </r>
  <r>
    <s v="Karuna Pashupathy"/>
    <s v="Other"/>
    <n v="27"/>
    <x v="2"/>
    <d v="2021-01-16T00:00:00"/>
    <s v="Website"/>
    <x v="59"/>
    <s v="IND"/>
    <n v="4.8904109589041092"/>
    <n v="2721"/>
    <m/>
  </r>
  <r>
    <s v="Madge McCloughen"/>
    <s v="Other"/>
    <n v="32"/>
    <x v="0"/>
    <d v="2022-08-01T00:00:00"/>
    <s v="Website"/>
    <x v="60"/>
    <s v="NZ"/>
    <n v="3.3506849315068492"/>
    <n v="2740"/>
    <m/>
  </r>
  <r>
    <s v="Rukma Vinita"/>
    <s v="Other"/>
    <n v="32"/>
    <x v="0"/>
    <d v="2022-06-01T00:00:00"/>
    <s v="Website"/>
    <x v="60"/>
    <s v="IND"/>
    <n v="3.5178082191780824"/>
    <n v="2740"/>
    <m/>
  </r>
  <r>
    <s v="Enoch Dowrey"/>
    <s v="Male"/>
    <n v="27"/>
    <x v="2"/>
    <d v="2021-02-09T00:00:00"/>
    <s v="Finance"/>
    <x v="61"/>
    <s v="NZ"/>
    <n v="4.8246575342465752"/>
    <n v="2750"/>
    <m/>
  </r>
  <r>
    <s v="Kamalakshi Mukundan"/>
    <s v="Male"/>
    <n v="27"/>
    <x v="2"/>
    <d v="2020-12-09T00:00:00"/>
    <s v="Finance"/>
    <x v="61"/>
    <s v="IND"/>
    <n v="4.9945205479452053"/>
    <n v="2750"/>
    <m/>
  </r>
  <r>
    <s v="Leilah Yesinin"/>
    <s v="Female"/>
    <n v="34"/>
    <x v="0"/>
    <d v="2021-09-06T00:00:00"/>
    <s v="Finance"/>
    <x v="62"/>
    <s v="NZ"/>
    <n v="4.2520547945205482"/>
    <n v="2774"/>
    <m/>
  </r>
  <r>
    <s v="Deepit Ranjana"/>
    <s v="Female"/>
    <n v="34"/>
    <x v="0"/>
    <d v="2021-07-06T00:00:00"/>
    <s v="Finance"/>
    <x v="62"/>
    <s v="IND"/>
    <n v="4.4219178082191783"/>
    <n v="2774"/>
    <m/>
  </r>
  <r>
    <s v="Hinda Label"/>
    <s v="Female"/>
    <n v="25"/>
    <x v="0"/>
    <d v="2021-01-09T00:00:00"/>
    <s v="Sales"/>
    <x v="63"/>
    <s v="NZ"/>
    <n v="4.9095890410958907"/>
    <n v="2781"/>
    <m/>
  </r>
  <r>
    <s v="Purnendu Vijayarangan"/>
    <s v="Female"/>
    <n v="25"/>
    <x v="0"/>
    <d v="2020-11-09T00:00:00"/>
    <s v="Sales"/>
    <x v="63"/>
    <s v="IND"/>
    <n v="5.0767123287671234"/>
    <n v="2781"/>
    <m/>
  </r>
  <r>
    <s v="Torrance Collier"/>
    <s v="Female"/>
    <n v="33"/>
    <x v="0"/>
    <d v="2020-12-25T00:00:00"/>
    <s v="Website"/>
    <x v="64"/>
    <s v="NZ"/>
    <n v="4.9506849315068493"/>
    <n v="2885"/>
    <m/>
  </r>
  <r>
    <s v="Sukhdev Nageshwar"/>
    <s v="Female"/>
    <n v="33"/>
    <x v="0"/>
    <d v="2020-10-25T00:00:00"/>
    <s v="Website"/>
    <x v="64"/>
    <s v="IND"/>
    <n v="5.117808219178082"/>
    <n v="2885"/>
    <m/>
  </r>
  <r>
    <s v="Constantino Espley"/>
    <s v="Male"/>
    <n v="30"/>
    <x v="0"/>
    <d v="2022-02-14T00:00:00"/>
    <s v="Finance"/>
    <x v="65"/>
    <s v="NZ"/>
    <n v="3.8109589041095893"/>
    <n v="2904"/>
    <m/>
  </r>
  <r>
    <s v="Mithil Nadkarni"/>
    <s v="Male"/>
    <n v="30"/>
    <x v="0"/>
    <d v="2021-12-14T00:00:00"/>
    <s v="Finance"/>
    <x v="65"/>
    <s v="IND"/>
    <n v="3.9808219178082194"/>
    <n v="2904"/>
    <m/>
  </r>
  <r>
    <s v="Simon Kembery"/>
    <s v="Male"/>
    <n v="40"/>
    <x v="0"/>
    <d v="2021-03-08T00:00:00"/>
    <s v="Procurement"/>
    <x v="66"/>
    <s v="NZ"/>
    <n v="4.7506849315068491"/>
    <n v="2993"/>
    <m/>
  </r>
  <r>
    <s v="Baruna Ogale"/>
    <s v="Male"/>
    <n v="40"/>
    <x v="0"/>
    <d v="2021-01-08T00:00:00"/>
    <s v="Procurement"/>
    <x v="66"/>
    <s v="IND"/>
    <n v="4.912328767123288"/>
    <n v="2993"/>
    <m/>
  </r>
  <r>
    <s v="Bernie Gorges"/>
    <s v="Female"/>
    <n v="28"/>
    <x v="0"/>
    <d v="2022-03-10T00:00:00"/>
    <s v="Procurement"/>
    <x v="67"/>
    <s v="NZ"/>
    <n v="3.7452054794520548"/>
    <n v="3000"/>
    <m/>
  </r>
  <r>
    <s v="Vasu Nandin"/>
    <s v="Female"/>
    <n v="28"/>
    <x v="0"/>
    <d v="2022-01-10T00:00:00"/>
    <s v="Procurement"/>
    <x v="67"/>
    <s v="IND"/>
    <n v="3.9068493150684933"/>
    <n v="3000"/>
    <m/>
  </r>
  <r>
    <s v="Collin Jagson"/>
    <s v="Male"/>
    <n v="24"/>
    <x v="0"/>
    <d v="2022-05-05T00:00:00"/>
    <s v="Website"/>
    <x v="68"/>
    <s v="NZ"/>
    <n v="3.591780821917808"/>
    <n v="3013"/>
    <m/>
  </r>
  <r>
    <s v="Amlankusum Rajabhushan"/>
    <s v="Male"/>
    <n v="24"/>
    <x v="0"/>
    <d v="2022-03-05T00:00:00"/>
    <s v="Website"/>
    <x v="68"/>
    <s v="IND"/>
    <n v="3.7589041095890412"/>
    <n v="3013"/>
    <m/>
  </r>
  <r>
    <s v="Dyna Doucette"/>
    <s v="Male"/>
    <n v="31"/>
    <x v="0"/>
    <d v="2022-06-12T00:00:00"/>
    <s v="Procurement"/>
    <x v="69"/>
    <s v="NZ"/>
    <n v="3.4876712328767123"/>
    <n v="3107"/>
    <m/>
  </r>
  <r>
    <s v="Satyendra Venkatadri"/>
    <s v="Male"/>
    <n v="31"/>
    <x v="0"/>
    <d v="2022-04-12T00:00:00"/>
    <s v="Procurement"/>
    <x v="69"/>
    <s v="IND"/>
    <n v="3.6547945205479451"/>
    <n v="3107"/>
    <m/>
  </r>
  <r>
    <s v="Cherlyn Barter"/>
    <s v="Female"/>
    <n v="28"/>
    <x v="0"/>
    <d v="2022-03-29T00:00:00"/>
    <s v="Procurement"/>
    <x v="70"/>
    <s v="NZ"/>
    <n v="3.6931506849315068"/>
    <n v="3124"/>
    <m/>
  </r>
  <r>
    <s v="Sartaj Probal"/>
    <s v="Female"/>
    <n v="28"/>
    <x v="0"/>
    <d v="2022-01-29T00:00:00"/>
    <s v="Procurement"/>
    <x v="70"/>
    <s v="IND"/>
    <n v="3.8547945205479452"/>
    <n v="3124"/>
    <m/>
  </r>
  <r>
    <s v="Caro Chappel"/>
    <s v="Female"/>
    <n v="40"/>
    <x v="0"/>
    <d v="2021-07-04T00:00:00"/>
    <s v="Website"/>
    <x v="71"/>
    <s v="NZ"/>
    <n v="4.4273972602739722"/>
    <n v="3133"/>
    <m/>
  </r>
  <r>
    <s v="Manjusri Ruchi"/>
    <s v="Female"/>
    <n v="40"/>
    <x v="0"/>
    <d v="2021-05-04T00:00:00"/>
    <s v="Website"/>
    <x v="71"/>
    <s v="IND"/>
    <n v="4.5945205479452058"/>
    <n v="3133"/>
    <m/>
  </r>
  <r>
    <s v="Janene Hairsine"/>
    <s v="Female"/>
    <n v="28"/>
    <x v="0"/>
    <d v="2021-10-17T00:00:00"/>
    <s v="Procurement"/>
    <x v="72"/>
    <s v="NZ"/>
    <n v="4.13972602739726"/>
    <n v="3144"/>
    <m/>
  </r>
  <r>
    <s v="Shevantilal Muppala"/>
    <s v="Female"/>
    <n v="28"/>
    <x v="0"/>
    <d v="2021-08-17T00:00:00"/>
    <s v="Procurement"/>
    <x v="72"/>
    <s v="IND"/>
    <n v="4.3068493150684928"/>
    <n v="3144"/>
    <m/>
  </r>
  <r>
    <s v="Kissiah Maydway"/>
    <s v="Male"/>
    <n v="23"/>
    <x v="0"/>
    <d v="2021-09-01T00:00:00"/>
    <s v="Procurement"/>
    <x v="73"/>
    <s v="NZ"/>
    <n v="4.2657534246575342"/>
    <n v="3194"/>
    <m/>
  </r>
  <r>
    <s v="Sahas Sanabhi Shrikant"/>
    <s v="Male"/>
    <n v="23"/>
    <x v="0"/>
    <d v="2021-07-01T00:00:00"/>
    <s v="Procurement"/>
    <x v="73"/>
    <s v="IND"/>
    <n v="4.4356164383561643"/>
    <n v="3194"/>
    <m/>
  </r>
  <r>
    <s v="Kaine Padly"/>
    <s v="Male"/>
    <n v="20"/>
    <x v="0"/>
    <d v="2021-09-20T00:00:00"/>
    <s v="Website"/>
    <x v="74"/>
    <s v="NZ"/>
    <n v="4.2136986301369861"/>
    <n v="3231"/>
    <m/>
  </r>
  <r>
    <s v="Hridaynath Tendulkar"/>
    <s v="Male"/>
    <n v="20"/>
    <x v="0"/>
    <d v="2021-07-20T00:00:00"/>
    <s v="Website"/>
    <x v="74"/>
    <s v="IND"/>
    <n v="4.3835616438356162"/>
    <n v="3231"/>
    <m/>
  </r>
  <r>
    <s v="Rafaelita Blaksland"/>
    <s v="Female"/>
    <n v="38"/>
    <x v="4"/>
    <d v="2021-06-30T00:00:00"/>
    <s v="Sales"/>
    <x v="75"/>
    <s v="NZ"/>
    <n v="4.4383561643835616"/>
    <n v="3275"/>
    <m/>
  </r>
  <r>
    <s v="Sawini Chandan"/>
    <s v="Female"/>
    <n v="38"/>
    <x v="4"/>
    <d v="2021-04-30T00:00:00"/>
    <s v="Sales"/>
    <x v="75"/>
    <s v="IND"/>
    <n v="4.6054794520547944"/>
    <n v="3275"/>
    <m/>
  </r>
  <r>
    <s v="Madelene Upcott"/>
    <s v="Male"/>
    <n v="25"/>
    <x v="2"/>
    <d v="2022-06-14T00:00:00"/>
    <s v="Procurement"/>
    <x v="76"/>
    <s v="NZ"/>
    <n v="3.4821917808219176"/>
    <n v="3276"/>
    <m/>
  </r>
  <r>
    <s v="Damayanti Thangavadivelu"/>
    <s v="Male"/>
    <n v="25"/>
    <x v="2"/>
    <d v="2022-04-14T00:00:00"/>
    <s v="Procurement"/>
    <x v="76"/>
    <s v="IND"/>
    <n v="3.6493150684931508"/>
    <n v="3276"/>
    <m/>
  </r>
  <r>
    <s v="Bev Lashley"/>
    <s v="Male"/>
    <n v="29"/>
    <x v="3"/>
    <d v="2020-12-15T00:00:00"/>
    <s v="Website"/>
    <x v="77"/>
    <s v="NZ"/>
    <n v="4.978082191780822"/>
    <n v="3364"/>
    <m/>
  </r>
  <r>
    <s v="Narois Motiwala"/>
    <s v="Male"/>
    <n v="29"/>
    <x v="3"/>
    <d v="2020-10-15T00:00:00"/>
    <s v="Website"/>
    <x v="77"/>
    <s v="IND"/>
    <n v="5.1452054794520548"/>
    <n v="3364"/>
    <m/>
  </r>
  <r>
    <s v="Halimeda Kuscha"/>
    <s v="Female"/>
    <n v="30"/>
    <x v="0"/>
    <d v="2022-10-27T00:00:00"/>
    <s v="Procurement"/>
    <x v="78"/>
    <s v="NZ"/>
    <n v="3.1123287671232878"/>
    <n v="3378"/>
    <m/>
  </r>
  <r>
    <s v="Makshi Vinutha"/>
    <s v="Female"/>
    <n v="30"/>
    <x v="0"/>
    <d v="2022-08-27T00:00:00"/>
    <s v="Procurement"/>
    <x v="78"/>
    <s v="IND"/>
    <n v="3.2794520547945205"/>
    <n v="3378"/>
    <m/>
  </r>
  <r>
    <s v="Mollie Hanway"/>
    <s v="Male"/>
    <n v="20"/>
    <x v="0"/>
    <d v="2020-12-18T00:00:00"/>
    <s v="Website"/>
    <x v="79"/>
    <s v="NZ"/>
    <n v="4.9698630136986299"/>
    <n v="3380"/>
    <m/>
  </r>
  <r>
    <s v="Deepali Charan"/>
    <s v="Male"/>
    <n v="20"/>
    <x v="0"/>
    <d v="2020-10-18T00:00:00"/>
    <s v="Website"/>
    <x v="79"/>
    <s v="IND"/>
    <n v="5.1369863013698627"/>
    <n v="3380"/>
    <m/>
  </r>
  <r>
    <s v="Bandhula Sathyanna"/>
    <s v="Male"/>
    <n v="34"/>
    <x v="0"/>
    <d v="2022-03-22T00:00:00"/>
    <s v="Procurement"/>
    <x v="79"/>
    <s v="IND"/>
    <n v="3.7123287671232879"/>
    <n v="3380"/>
    <m/>
  </r>
  <r>
    <s v="Lindy Guillet"/>
    <s v="Male"/>
    <n v="22"/>
    <x v="2"/>
    <d v="2021-09-07T00:00:00"/>
    <s v="Sales"/>
    <x v="80"/>
    <s v="NZ"/>
    <n v="4.2493150684931509"/>
    <n v="3384"/>
    <m/>
  </r>
  <r>
    <s v="Krishnakanta Vellanki"/>
    <s v="Male"/>
    <n v="22"/>
    <x v="2"/>
    <d v="2021-07-07T00:00:00"/>
    <s v="Sales"/>
    <x v="80"/>
    <s v="IND"/>
    <n v="4.419178082191781"/>
    <n v="3384"/>
    <m/>
  </r>
  <r>
    <s v="Mahalia Larcher"/>
    <s v="Male"/>
    <n v="27"/>
    <x v="1"/>
    <d v="2022-02-17T00:00:00"/>
    <s v="Procurement"/>
    <x v="81"/>
    <s v="NZ"/>
    <n v="3.8027397260273972"/>
    <n v="3399"/>
    <m/>
  </r>
  <r>
    <s v="Ilesh Dasgupta"/>
    <s v="Male"/>
    <n v="27"/>
    <x v="1"/>
    <d v="2021-12-17T00:00:00"/>
    <s v="Procurement"/>
    <x v="81"/>
    <s v="IND"/>
    <n v="3.9726027397260273"/>
    <n v="3399"/>
    <m/>
  </r>
  <r>
    <s v="Hogan Iles"/>
    <s v="Female"/>
    <n v="30"/>
    <x v="0"/>
    <d v="2022-10-16T00:00:00"/>
    <s v="Procurement"/>
    <x v="82"/>
    <s v="NZ"/>
    <n v="3.1424657534246574"/>
    <n v="3426"/>
    <m/>
  </r>
  <r>
    <s v="Sarojini Naueshwara"/>
    <s v="Female"/>
    <n v="30"/>
    <x v="0"/>
    <d v="2022-08-16T00:00:00"/>
    <s v="Procurement"/>
    <x v="82"/>
    <s v="IND"/>
    <n v="3.3095890410958906"/>
    <n v="3426"/>
    <m/>
  </r>
  <r>
    <s v="Wilone O'Kielt"/>
    <s v="Female"/>
    <n v="43"/>
    <x v="0"/>
    <d v="2023-04-29T00:00:00"/>
    <s v="Website"/>
    <x v="83"/>
    <s v="NZ"/>
    <n v="2.6082191780821917"/>
    <n v="3447"/>
    <m/>
  </r>
  <r>
    <s v="Ramnath Ravuri"/>
    <s v="Female"/>
    <n v="44"/>
    <x v="0"/>
    <d v="2023-02-28T00:00:00"/>
    <s v="Website"/>
    <x v="83"/>
    <s v="IND"/>
    <n v="2.7726027397260276"/>
    <n v="3447"/>
    <m/>
  </r>
  <r>
    <s v="Tracy Renad"/>
    <s v="Female"/>
    <n v="36"/>
    <x v="0"/>
    <d v="2020-09-11T00:00:00"/>
    <s v="Procurement"/>
    <x v="84"/>
    <s v="NZ"/>
    <n v="5.2383561643835614"/>
    <n v="3447"/>
    <m/>
  </r>
  <r>
    <s v="Dhruv Manjunath"/>
    <s v="Female"/>
    <n v="36"/>
    <x v="0"/>
    <d v="2020-07-11T00:00:00"/>
    <s v="Procurement"/>
    <x v="84"/>
    <s v="IND"/>
    <n v="5.4082191780821915"/>
    <n v="3447"/>
    <m/>
  </r>
  <r>
    <s v="Benny Karolovsky"/>
    <s v="Other"/>
    <n v="37"/>
    <x v="3"/>
    <d v="2020-11-11T00:00:00"/>
    <s v="Finance"/>
    <x v="85"/>
    <s v="NZ"/>
    <n v="5.0712328767123287"/>
    <n v="3464"/>
    <m/>
  </r>
  <r>
    <s v="Sahila Chandrasekhar"/>
    <s v="Other"/>
    <n v="37"/>
    <x v="3"/>
    <d v="2020-09-11T00:00:00"/>
    <s v="Finance"/>
    <x v="85"/>
    <s v="IND"/>
    <n v="5.2383561643835614"/>
    <n v="3464"/>
    <m/>
  </r>
  <r>
    <s v="Roddy Speechley"/>
    <s v="Male"/>
    <n v="33"/>
    <x v="0"/>
    <d v="2020-11-29T00:00:00"/>
    <s v="Procurement"/>
    <x v="86"/>
    <s v="NZ"/>
    <n v="5.021917808219178"/>
    <n v="3478"/>
    <m/>
  </r>
  <r>
    <s v="Sarayu Ragunathan"/>
    <s v="Male"/>
    <n v="33"/>
    <x v="0"/>
    <d v="2020-09-29T00:00:00"/>
    <s v="Procurement"/>
    <x v="86"/>
    <s v="IND"/>
    <n v="5.1890410958904107"/>
    <n v="3478"/>
    <m/>
  </r>
  <r>
    <s v="Valentia Etteridge"/>
    <s v="Female"/>
    <n v="37"/>
    <x v="0"/>
    <d v="2021-09-12T00:00:00"/>
    <s v="HR"/>
    <x v="87"/>
    <s v="NZ"/>
    <n v="4.2356164383561641"/>
    <n v="3543"/>
    <m/>
  </r>
  <r>
    <s v="Kaishori Harathi Kateel"/>
    <s v="Female"/>
    <n v="37"/>
    <x v="0"/>
    <d v="2021-07-12T00:00:00"/>
    <s v="HR"/>
    <x v="87"/>
    <s v="IND"/>
    <n v="4.4054794520547942"/>
    <n v="3543"/>
    <m/>
  </r>
  <r>
    <s v="Tawnya Tickel"/>
    <s v="Male"/>
    <n v="36"/>
    <x v="0"/>
    <d v="2020-07-07T00:00:00"/>
    <s v="Website"/>
    <x v="88"/>
    <s v="NZ"/>
    <n v="5.419178082191781"/>
    <n v="3566"/>
    <m/>
  </r>
  <r>
    <s v="Heer Pennathur"/>
    <s v="Male"/>
    <n v="36"/>
    <x v="0"/>
    <d v="2020-05-07T00:00:00"/>
    <s v="Website"/>
    <x v="88"/>
    <s v="IND"/>
    <n v="5.5863013698630137"/>
    <n v="3566"/>
    <m/>
  </r>
  <r>
    <s v="Ewart Laphorn"/>
    <s v="Female"/>
    <n v="27"/>
    <x v="0"/>
    <d v="2020-10-18T00:00:00"/>
    <s v="HR"/>
    <x v="89"/>
    <s v="NZ"/>
    <n v="5.1369863013698627"/>
    <n v="3574"/>
    <m/>
  </r>
  <r>
    <s v="Anjushri Chandiramani"/>
    <s v="Female"/>
    <n v="27"/>
    <x v="0"/>
    <d v="2020-08-18T00:00:00"/>
    <s v="HR"/>
    <x v="89"/>
    <s v="IND"/>
    <n v="5.3041095890410963"/>
    <n v="357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AA9F5F-2DB5-4D75-A993-4FEC7F96AA3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ating">
  <location ref="A3:C8" firstHeaderRow="0" firstDataRow="1" firstDataCol="1"/>
  <pivotFields count="11">
    <pivotField dataField="1" showAll="0"/>
    <pivotField showAll="0"/>
    <pivotField showAll="0"/>
    <pivotField axis="axisRow" showAll="0">
      <items count="6">
        <item x="4"/>
        <item x="2"/>
        <item x="0"/>
        <item x="3"/>
        <item x="1"/>
        <item t="default"/>
      </items>
    </pivotField>
    <pivotField numFmtId="14" showAll="0"/>
    <pivotField showAll="0"/>
    <pivotField dataField="1" numFmtId="16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numFmtId="2" showAll="0"/>
    <pivotField numFmtId="166" showAll="0"/>
    <pivotField showAll="0"/>
  </pivotFields>
  <rowFields count="1">
    <field x="3"/>
  </rowFields>
  <rowItems count="5">
    <i>
      <x/>
    </i>
    <i>
      <x v="1"/>
    </i>
    <i>
      <x v="2"/>
    </i>
    <i>
      <x v="3"/>
    </i>
    <i>
      <x v="4"/>
    </i>
  </rowItems>
  <colFields count="1">
    <field x="-2"/>
  </colFields>
  <colItems count="2">
    <i>
      <x/>
    </i>
    <i i="1">
      <x v="1"/>
    </i>
  </colItems>
  <dataFields count="2">
    <dataField name="Count of Name" fld="0" subtotal="count" baseField="0" baseItem="0"/>
    <dataField name="Average Salary" fld="6" subtotal="average" baseField="3" baseItem="0" numFmtId="164"/>
  </dataFields>
  <formats count="1">
    <format dxfId="3">
      <pivotArea dataOnly="0" outline="0" fieldPosition="0">
        <references count="1">
          <reference field="4294967294" count="1">
            <x v="1"/>
          </reference>
        </references>
      </pivotArea>
    </format>
  </formats>
  <conditionalFormats count="1">
    <conditionalFormat scope="field" priority="1">
      <pivotAreas count="1">
        <pivotArea outline="0" collapsedLevelsAreSubtotals="1" fieldPosition="0">
          <references count="2">
            <reference field="4294967294" count="1" selected="0">
              <x v="1"/>
            </reference>
            <reference field="3"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896D42-C179-4250-B43B-C9D10DBC3400}" name="Cumulative hiring by month"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8:C45"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2">
        <item x="0"/>
        <item x="1"/>
        <item x="2"/>
        <item x="3"/>
        <item x="4"/>
        <item x="5"/>
        <item x="6"/>
        <item x="7"/>
        <item x="8"/>
        <item x="9"/>
        <item x="10"/>
        <item x="11"/>
      </items>
    </pivotField>
  </pivotFields>
  <rowFields count="2">
    <field x="1"/>
    <field x="2"/>
  </rowFields>
  <rowItems count="37">
    <i>
      <x/>
    </i>
    <i r="1">
      <x/>
    </i>
    <i r="1">
      <x v="1"/>
    </i>
    <i r="1">
      <x v="2"/>
    </i>
    <i r="1">
      <x v="3"/>
    </i>
    <i r="1">
      <x v="4"/>
    </i>
    <i r="1">
      <x v="5"/>
    </i>
    <i r="1">
      <x v="6"/>
    </i>
    <i r="1">
      <x v="7"/>
    </i>
    <i>
      <x v="1"/>
    </i>
    <i r="1">
      <x v="8"/>
    </i>
    <i r="1">
      <x v="9"/>
    </i>
    <i r="1">
      <x v="10"/>
    </i>
    <i r="1">
      <x v="11"/>
    </i>
    <i r="1">
      <x/>
    </i>
    <i r="1">
      <x v="1"/>
    </i>
    <i r="1">
      <x v="2"/>
    </i>
    <i r="1">
      <x v="3"/>
    </i>
    <i r="1">
      <x v="4"/>
    </i>
    <i r="1">
      <x v="5"/>
    </i>
    <i r="1">
      <x v="6"/>
    </i>
    <i r="1">
      <x v="7"/>
    </i>
    <i>
      <x v="2"/>
    </i>
    <i r="1">
      <x v="8"/>
    </i>
    <i r="1">
      <x v="9"/>
    </i>
    <i r="1">
      <x v="10"/>
    </i>
    <i r="1">
      <x v="11"/>
    </i>
    <i r="1">
      <x/>
    </i>
    <i r="1">
      <x v="1"/>
    </i>
    <i r="1">
      <x v="2"/>
    </i>
    <i r="1">
      <x v="3"/>
    </i>
    <i r="1">
      <x v="4"/>
    </i>
    <i r="1">
      <x v="5"/>
    </i>
    <i>
      <x v="3"/>
    </i>
    <i r="1">
      <x v="9"/>
    </i>
    <i r="1">
      <x v="11"/>
    </i>
    <i t="grand">
      <x/>
    </i>
  </rowItems>
  <colItems count="1">
    <i/>
  </colItems>
  <dataFields count="1">
    <dataField name="Count of Name" fld="0" subtotal="count" showDataAs="runTotal" baseField="2" baseItem="0"/>
  </dataFields>
  <chartFormats count="1">
    <chartFormat chart="2" format="0"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50262D-F98C-4CEB-BF20-EE7A008C13D0}" name="Hiring counts"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rowHeaderCaption="Month/Year">
  <location ref="B1:D6"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4">
        <item x="0" e="0"/>
        <item x="1" e="0"/>
        <item x="2" e="0"/>
        <item x="3"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5">
    <i>
      <x/>
    </i>
    <i>
      <x v="1"/>
    </i>
    <i>
      <x v="2"/>
    </i>
    <i>
      <x v="3"/>
    </i>
    <i t="grand">
      <x/>
    </i>
  </rowItems>
  <colFields count="1">
    <field x="-2"/>
  </colFields>
  <colItems count="2">
    <i>
      <x/>
    </i>
    <i i="1">
      <x v="1"/>
    </i>
  </colItems>
  <dataFields count="2">
    <dataField name="Count of new hires" fld="2" subtotal="count" baseField="0" baseItem="0">
      <extLst>
        <ext xmlns:x14="http://schemas.microsoft.com/office/spreadsheetml/2009/9/main" uri="{E15A36E0-9728-4e99-A89B-3F7291B0FE68}">
          <x14:dataField sourceField="2" uniqueName="[__Xl2].[Measures].[Count of Name]"/>
        </ext>
      </extLst>
    </dataField>
    <dataField name="Total Employees" fld="3" subtotal="count" showDataAs="runTotal" baseField="1" baseItem="0">
      <extLst>
        <ext xmlns:x14="http://schemas.microsoft.com/office/spreadsheetml/2009/9/main" uri="{E15A36E0-9728-4e99-A89B-3F7291B0FE68}">
          <x14:dataField sourceField="2"/>
        </ext>
      </extLst>
    </dataField>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Total Employees"/>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9"/>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E17DD3-A2AE-4A0E-BCE5-0EF19A415583}" name="PivotTable1" cacheId="1"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4:D9" firstHeaderRow="1" firstDataRow="2" firstDataCol="1"/>
  <pivotFields count="6">
    <pivotField axis="axisCol" allDrilled="1" subtotalTop="0" showAll="0" dataSourceSort="1" defaultSubtotal="0" defaultAttributeDrillState="1">
      <items count="2">
        <item s="1" x="0"/>
        <item s="1" x="1"/>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4">
    <i>
      <x/>
    </i>
    <i i="1">
      <x v="1"/>
    </i>
    <i i="2">
      <x v="2"/>
    </i>
    <i i="3">
      <x v="3"/>
    </i>
  </rowItems>
  <colFields count="1">
    <field x="0"/>
  </colFields>
  <colItems count="2">
    <i>
      <x/>
    </i>
    <i>
      <x v="1"/>
    </i>
  </colItems>
  <dataFields count="4">
    <dataField name="Count of Name" fld="1" subtotal="count" baseField="0" baseItem="0"/>
    <dataField name="Average of Age" fld="2" subtotal="average" baseField="0" baseItem="0"/>
    <dataField name="Average of Salary" fld="3" subtotal="average" baseField="0" baseItem="0"/>
    <dataField name="Average of Tenure" fld="4" subtotal="average" baseField="0" baseItem="0"/>
  </dataFields>
  <formats count="2">
    <format dxfId="2">
      <pivotArea collapsedLevelsAreSubtotals="1" fieldPosition="0">
        <references count="1">
          <reference field="4294967294" count="3">
            <x v="1"/>
            <x v="2"/>
            <x v="3"/>
          </reference>
        </references>
      </pivotArea>
    </format>
    <format dxfId="1">
      <pivotArea collapsedLevelsAreSubtotals="1" fieldPosition="0">
        <references count="1">
          <reference field="4294967294" count="1">
            <x v="2"/>
          </reference>
        </references>
      </pivotArea>
    </format>
  </formats>
  <pivotHierarchies count="2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ank-data-file.xlsx!staff">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0D65E4-3E32-4282-8D07-81D324E232F8}" name="PivotTable2"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epartment">
  <location ref="E6:F12" firstHeaderRow="1" firstDataRow="1" firstDataCol="1" rowPageCount="1" colPageCount="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s>
  <rowFields count="1">
    <field x="0"/>
  </rowFields>
  <rowItems count="6">
    <i>
      <x v="4"/>
    </i>
    <i>
      <x v="2"/>
    </i>
    <i>
      <x/>
    </i>
    <i>
      <x v="3"/>
    </i>
    <i>
      <x v="1"/>
    </i>
    <i t="grand">
      <x/>
    </i>
  </rowItems>
  <colItems count="1">
    <i/>
  </colItems>
  <pageFields count="1">
    <pageField fld="1" hier="7" name="[staff].[Country].&amp;[NZ]" cap="NZ"/>
  </pageFields>
  <dataFields count="1">
    <dataField name="Employees" fld="2" subtotal="count" baseField="0" baseItem="4"/>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ff].[Country].&amp;[NZ]"/>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Employe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CA643A-09D2-41DA-9359-33789E4ACF51}" name="PivotTable1"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epartment">
  <location ref="B6:C12" firstHeaderRow="1" firstDataRow="1" firstDataCol="1" rowPageCount="1" colPageCount="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s>
  <rowFields count="1">
    <field x="0"/>
  </rowFields>
  <rowItems count="6">
    <i>
      <x v="2"/>
    </i>
    <i>
      <x v="4"/>
    </i>
    <i>
      <x/>
    </i>
    <i>
      <x v="3"/>
    </i>
    <i>
      <x v="1"/>
    </i>
    <i t="grand">
      <x/>
    </i>
  </rowItems>
  <colItems count="1">
    <i/>
  </colItems>
  <pageFields count="1">
    <pageField fld="1" hier="7" name="[staff].[Country].&amp;[IND]" cap="IND"/>
  </pageFields>
  <dataFields count="1">
    <dataField name="Employees" fld="2" subtotal="count" baseField="0" baseItem="2"/>
  </dataFields>
  <chartFormats count="3">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ff].[Country].&amp;[IND]"/>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Employe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CF897149-5449-49BC-BE8A-9CBF35D32592}" autoFormatId="16" applyNumberFormats="0" applyBorderFormats="0" applyFontFormats="0" applyPatternFormats="0" applyAlignmentFormats="0" applyWidthHeightFormats="0">
  <queryTableRefresh nextId="17" unboundColumnsRight="4">
    <queryTableFields count="12">
      <queryTableField id="1" name="Name" tableColumnId="1"/>
      <queryTableField id="2" name="Gender" tableColumnId="2"/>
      <queryTableField id="4" name="Age" tableColumnId="4"/>
      <queryTableField id="7" name="Rating" tableColumnId="7"/>
      <queryTableField id="5" name="Date Joined" tableColumnId="5"/>
      <queryTableField id="3" name="Department" tableColumnId="3"/>
      <queryTableField id="6" name="Salary" tableColumnId="6"/>
      <queryTableField id="8" name="Country" tableColumnId="8"/>
      <queryTableField id="9" dataBound="0" tableColumnId="9"/>
      <queryTableField id="13" dataBound="0" tableColumnId="10"/>
      <queryTableField id="14" dataBound="0" tableColumnId="11"/>
      <queryTableField id="16"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D21E03D-A754-4306-A05D-91915D56ABF3}" sourceName="[staff].[Country]">
  <pivotTables>
    <pivotTable tabId="7" name="PivotTable1"/>
  </pivotTables>
  <data>
    <olap pivotCacheId="677782512">
      <levels count="2">
        <level uniqueName="[staff].[Country].[(All)]" sourceCaption="(All)" count="0"/>
        <level uniqueName="[staff].[Country].[Country]" sourceCaption="Country" count="2">
          <ranges>
            <range startItem="0">
              <i n="[staff].[Country].&amp;[IND]" c="IND"/>
              <i n="[staff].[Country].&amp;[NZ]" c="NZ"/>
            </range>
          </ranges>
        </level>
      </levels>
      <selections count="1">
        <selection n="[staff].[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1497ADAC-38C8-43B7-B9A5-6631193A9099}" cache="Slicer_Country" caption="Country" level="1"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C88D03-5933-4CDC-AB4D-EE3FEC3C6945}" name="nz_staff" displayName="nz_staff" ref="C5:I105">
  <autoFilter ref="C5:I105" xr:uid="{D4C88D03-5933-4CDC-AB4D-EE3FEC3C6945}"/>
  <tableColumns count="7">
    <tableColumn id="1" xr3:uid="{CC2273BA-A37F-43B7-8206-E9332E6810E6}" name="Name" totalsRowLabel="Total"/>
    <tableColumn id="2" xr3:uid="{DB7C30E7-76ED-4676-9318-080E315524BF}" name="Gender"/>
    <tableColumn id="3" xr3:uid="{D75CDD1F-C575-464F-ABF2-8D8995709C5F}" name="Department"/>
    <tableColumn id="4" xr3:uid="{0432BE1B-6129-4059-A3C9-F97535CC93DB}" name="Age" totalsRowFunction="average"/>
    <tableColumn id="5" xr3:uid="{7897EC6A-10F1-4AED-AA9A-CC93635DA20D}" name="Date Joined" dataDxfId="17"/>
    <tableColumn id="6" xr3:uid="{363C6E52-ACE4-49F5-88D0-B1FB852C5362}" name="Salary" totalsRowFunction="average" totalsRowDxfId="16"/>
    <tableColumn id="7" xr3:uid="{08F94530-E9D4-4E3C-9ECB-0D42E7833E0F}" name="Rating" totalsRowFunction="c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710F3E-0868-418F-AA5E-01D6A6142E2F}" name="india_staff" displayName="india_staff" ref="B2:H114">
  <autoFilter ref="B2:H114" xr:uid="{3B710F3E-0868-418F-AA5E-01D6A6142E2F}"/>
  <tableColumns count="7">
    <tableColumn id="1" xr3:uid="{FCECDB9E-0CEA-4474-AF5F-59CE1C763DAD}" name="Name" totalsRowLabel="Total"/>
    <tableColumn id="2" xr3:uid="{ACC72F0A-D275-4FED-932E-5AEFAA8D1A51}" name="Gender"/>
    <tableColumn id="3" xr3:uid="{5A05BA24-A7A1-4EC0-B59D-2EC1A3AA7380}" name="Age"/>
    <tableColumn id="4" xr3:uid="{CA620472-F033-44C4-AB5B-F352632AF352}" name="Rating"/>
    <tableColumn id="5" xr3:uid="{FEA5C95E-6A13-48FA-8D4C-B3024A018C92}" name="Date Joined" dataDxfId="15"/>
    <tableColumn id="6" xr3:uid="{070C3020-7591-4CBB-8694-C2688BE19D8C}" name="Department"/>
    <tableColumn id="7" xr3:uid="{27B5D041-84C8-493F-B90B-645961A40196}" name="Salary" totalsRowFunction="sum" dataDxfId="14"/>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FDA7776-58B4-4413-ACA5-7244039D2ABB}" name="staff" displayName="staff" ref="B1:M184" tableType="queryTable" totalsRowShown="0">
  <autoFilter ref="B1:M184" xr:uid="{CFDA7776-58B4-4413-ACA5-7244039D2ABB}"/>
  <sortState xmlns:xlrd2="http://schemas.microsoft.com/office/spreadsheetml/2017/richdata2" ref="B2:L184">
    <sortCondition ref="H1:H184"/>
  </sortState>
  <tableColumns count="12">
    <tableColumn id="1" xr3:uid="{154CF66C-5D13-49C8-8A42-982DB7F789C8}" uniqueName="1" name="Name" queryTableFieldId="1" dataDxfId="13"/>
    <tableColumn id="2" xr3:uid="{B406D96B-C228-450F-A56F-EA2A35B638AB}" uniqueName="2" name="Gender" queryTableFieldId="2" dataDxfId="12"/>
    <tableColumn id="4" xr3:uid="{C7D4AF95-46FF-4F91-A7F1-25663A7283C3}" uniqueName="4" name="Age" queryTableFieldId="4"/>
    <tableColumn id="7" xr3:uid="{B0EC737E-5CFF-4C3D-81A1-A04079205CA9}" uniqueName="7" name="Rating" queryTableFieldId="7" dataDxfId="11"/>
    <tableColumn id="5" xr3:uid="{CCCB6BD9-D580-4774-A2AF-9696B3BE933B}" uniqueName="5" name="Date Joined" queryTableFieldId="5" dataDxfId="10"/>
    <tableColumn id="3" xr3:uid="{671FA986-C4A4-418D-B800-C0B6CB719B39}" uniqueName="3" name="Department" queryTableFieldId="3" dataDxfId="9"/>
    <tableColumn id="6" xr3:uid="{4D58732D-5C0C-42F3-BBB3-E610D197D3CD}" uniqueName="6" name="Salary" queryTableFieldId="6" dataDxfId="8"/>
    <tableColumn id="8" xr3:uid="{BD621175-B6D3-4E79-8CA4-4B93A0445F16}" uniqueName="8" name="Country" queryTableFieldId="8"/>
    <tableColumn id="9" xr3:uid="{95A92DC6-0C1B-42ED-AC56-A5CCD2CBBEA5}" uniqueName="9" name="Tenure" queryTableFieldId="9" dataDxfId="7">
      <calculatedColumnFormula>(TODAY() - staff[[#This Row],[Date Joined]]) / 365</calculatedColumnFormula>
    </tableColumn>
    <tableColumn id="10" xr3:uid="{B018EC16-A5F5-4F38-B94C-9B75841630FC}" uniqueName="10" name="Bonus" queryTableFieldId="13" dataDxfId="6">
      <calculatedColumnFormula>ROUNDUP(IF(staff[[#This Row],[Tenure]]&gt;2, 3%, 2%) * staff[[#This Row],[Salary]],0)</calculatedColumnFormula>
    </tableColumn>
    <tableColumn id="11" xr3:uid="{9976E657-1C39-44CA-AE24-E446CADAA0EB}" uniqueName="11" name="Rating Value using IFS" queryTableFieldId="14" dataDxfId="5">
      <calculatedColumnFormula array="1">_xlfn.IFS(staff[[#This Row],[Rating]]="Exceptional", 5, staff[[#This Row],[Rating]]="Above average", 4, staff[[#This Row],[Rating]]="Average", 3, staff[[#This Row],[Rating]]="Poor", 2, staff[[#This Row],[Rating]]="Very poor", 1)</calculatedColumnFormula>
    </tableColumn>
    <tableColumn id="13" xr3:uid="{7541CC0B-5B90-487F-B147-4440C12B449F}" uniqueName="13" name="Rating using Lookup" queryTableFieldId="16" dataDxfId="4">
      <calculatedColumnFormula>_xlfn.XLOOKUP(staff[[#This Row],[Rating]],'Lookup Array'!$A$1:$A$5, 'Lookup Array'!$B$1:$B$5, "No Rating")</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I105"/>
  <sheetViews>
    <sheetView showGridLines="0" workbookViewId="0">
      <selection activeCell="C24" sqref="C24"/>
    </sheetView>
  </sheetViews>
  <sheetFormatPr defaultRowHeight="15" x14ac:dyDescent="0.25"/>
  <cols>
    <col min="1" max="1" width="1.7109375" customWidth="1"/>
    <col min="2" max="2" width="3.7109375" customWidth="1"/>
    <col min="3" max="3" width="36.42578125" bestFit="1" customWidth="1"/>
    <col min="4" max="4" width="10" bestFit="1" customWidth="1"/>
    <col min="5" max="5" width="14" bestFit="1" customWidth="1"/>
    <col min="6" max="6" width="6.7109375" bestFit="1" customWidth="1"/>
    <col min="7" max="7" width="18" bestFit="1" customWidth="1"/>
    <col min="8" max="8" width="12.28515625" bestFit="1" customWidth="1"/>
    <col min="9" max="9" width="14.28515625" bestFit="1" customWidth="1"/>
  </cols>
  <sheetData>
    <row r="1" spans="1:9" s="2" customFormat="1" ht="52.5" customHeight="1" x14ac:dyDescent="0.25">
      <c r="A1" s="1"/>
      <c r="C1" s="3" t="s">
        <v>110</v>
      </c>
    </row>
    <row r="5" spans="1:9" x14ac:dyDescent="0.25">
      <c r="C5" t="s">
        <v>0</v>
      </c>
      <c r="D5" t="s">
        <v>1</v>
      </c>
      <c r="E5" t="s">
        <v>2</v>
      </c>
      <c r="F5" t="s">
        <v>3</v>
      </c>
      <c r="G5" s="4" t="s">
        <v>4</v>
      </c>
      <c r="H5" s="6" t="s">
        <v>5</v>
      </c>
      <c r="I5" t="s">
        <v>6</v>
      </c>
    </row>
    <row r="6" spans="1:9" x14ac:dyDescent="0.25">
      <c r="C6" t="s">
        <v>58</v>
      </c>
      <c r="D6" t="s">
        <v>15</v>
      </c>
      <c r="E6" t="s">
        <v>19</v>
      </c>
      <c r="F6">
        <v>22</v>
      </c>
      <c r="G6" s="4">
        <v>44446</v>
      </c>
      <c r="H6" s="6">
        <v>112780</v>
      </c>
      <c r="I6" t="s">
        <v>13</v>
      </c>
    </row>
    <row r="7" spans="1:9" x14ac:dyDescent="0.25">
      <c r="C7" t="s">
        <v>70</v>
      </c>
      <c r="D7" t="s">
        <v>15</v>
      </c>
      <c r="E7" t="s">
        <v>9</v>
      </c>
      <c r="F7">
        <v>46</v>
      </c>
      <c r="G7" s="4">
        <v>44758</v>
      </c>
      <c r="H7" s="6">
        <v>70610</v>
      </c>
      <c r="I7" t="s">
        <v>16</v>
      </c>
    </row>
    <row r="8" spans="1:9" x14ac:dyDescent="0.25">
      <c r="C8" t="s">
        <v>75</v>
      </c>
      <c r="D8" t="s">
        <v>8</v>
      </c>
      <c r="E8" t="s">
        <v>19</v>
      </c>
      <c r="F8">
        <v>28</v>
      </c>
      <c r="G8" s="4">
        <v>44357</v>
      </c>
      <c r="H8" s="6">
        <v>53240</v>
      </c>
      <c r="I8" t="s">
        <v>16</v>
      </c>
    </row>
    <row r="9" spans="1:9" x14ac:dyDescent="0.25">
      <c r="C9" t="s">
        <v>49</v>
      </c>
      <c r="E9" t="s">
        <v>21</v>
      </c>
      <c r="F9">
        <v>37</v>
      </c>
      <c r="G9" s="4">
        <v>44146</v>
      </c>
      <c r="H9" s="6">
        <v>115440</v>
      </c>
      <c r="I9" t="s">
        <v>24</v>
      </c>
    </row>
    <row r="10" spans="1:9" x14ac:dyDescent="0.25">
      <c r="C10" t="s">
        <v>65</v>
      </c>
      <c r="D10" t="s">
        <v>15</v>
      </c>
      <c r="E10" t="s">
        <v>19</v>
      </c>
      <c r="F10">
        <v>32</v>
      </c>
      <c r="G10" s="4">
        <v>44465</v>
      </c>
      <c r="H10" s="6">
        <v>53540</v>
      </c>
      <c r="I10" t="s">
        <v>16</v>
      </c>
    </row>
    <row r="11" spans="1:9" x14ac:dyDescent="0.25">
      <c r="C11" t="s">
        <v>81</v>
      </c>
      <c r="D11" t="s">
        <v>8</v>
      </c>
      <c r="E11" t="s">
        <v>9</v>
      </c>
      <c r="F11">
        <v>30</v>
      </c>
      <c r="G11" s="4">
        <v>44861</v>
      </c>
      <c r="H11" s="6">
        <v>112570</v>
      </c>
      <c r="I11" t="s">
        <v>16</v>
      </c>
    </row>
    <row r="12" spans="1:9" x14ac:dyDescent="0.25">
      <c r="C12" t="s">
        <v>51</v>
      </c>
      <c r="D12" t="s">
        <v>15</v>
      </c>
      <c r="E12" t="s">
        <v>9</v>
      </c>
      <c r="F12">
        <v>33</v>
      </c>
      <c r="G12" s="4">
        <v>44701</v>
      </c>
      <c r="H12" s="6">
        <v>48530</v>
      </c>
      <c r="I12" t="s">
        <v>13</v>
      </c>
    </row>
    <row r="13" spans="1:9" x14ac:dyDescent="0.25">
      <c r="C13" t="s">
        <v>61</v>
      </c>
      <c r="D13" t="s">
        <v>8</v>
      </c>
      <c r="E13" t="s">
        <v>12</v>
      </c>
      <c r="F13">
        <v>24</v>
      </c>
      <c r="G13" s="4">
        <v>44148</v>
      </c>
      <c r="H13" s="6">
        <v>62780</v>
      </c>
      <c r="I13" t="s">
        <v>16</v>
      </c>
    </row>
    <row r="14" spans="1:9" x14ac:dyDescent="0.25">
      <c r="C14" t="s">
        <v>82</v>
      </c>
      <c r="D14" t="s">
        <v>15</v>
      </c>
      <c r="E14" t="s">
        <v>12</v>
      </c>
      <c r="F14">
        <v>33</v>
      </c>
      <c r="G14" s="4">
        <v>44509</v>
      </c>
      <c r="H14" s="6">
        <v>53870</v>
      </c>
      <c r="I14" t="s">
        <v>16</v>
      </c>
    </row>
    <row r="15" spans="1:9" x14ac:dyDescent="0.25">
      <c r="C15" t="s">
        <v>60</v>
      </c>
      <c r="D15" t="s">
        <v>8</v>
      </c>
      <c r="E15" t="s">
        <v>56</v>
      </c>
      <c r="F15">
        <v>27</v>
      </c>
      <c r="G15" s="4">
        <v>44122</v>
      </c>
      <c r="H15" s="6">
        <v>119110</v>
      </c>
      <c r="I15" t="s">
        <v>16</v>
      </c>
    </row>
    <row r="16" spans="1:9" x14ac:dyDescent="0.25">
      <c r="C16" t="s">
        <v>87</v>
      </c>
      <c r="D16" t="s">
        <v>15</v>
      </c>
      <c r="E16" t="s">
        <v>12</v>
      </c>
      <c r="F16">
        <v>29</v>
      </c>
      <c r="G16" s="4">
        <v>44180</v>
      </c>
      <c r="H16" s="6">
        <v>112110</v>
      </c>
      <c r="I16" t="s">
        <v>24</v>
      </c>
    </row>
    <row r="17" spans="3:9" x14ac:dyDescent="0.25">
      <c r="C17" t="s">
        <v>76</v>
      </c>
      <c r="D17" t="s">
        <v>15</v>
      </c>
      <c r="E17" t="s">
        <v>19</v>
      </c>
      <c r="F17">
        <v>25</v>
      </c>
      <c r="G17" s="4">
        <v>44383</v>
      </c>
      <c r="H17" s="6">
        <v>65700</v>
      </c>
      <c r="I17" t="s">
        <v>16</v>
      </c>
    </row>
    <row r="18" spans="3:9" x14ac:dyDescent="0.25">
      <c r="C18" t="s">
        <v>97</v>
      </c>
      <c r="D18" t="s">
        <v>15</v>
      </c>
      <c r="E18" t="s">
        <v>12</v>
      </c>
      <c r="F18">
        <v>37</v>
      </c>
      <c r="G18" s="4">
        <v>44701</v>
      </c>
      <c r="H18" s="6">
        <v>69070</v>
      </c>
      <c r="I18" t="s">
        <v>16</v>
      </c>
    </row>
    <row r="19" spans="3:9" x14ac:dyDescent="0.25">
      <c r="C19" t="s">
        <v>22</v>
      </c>
      <c r="D19" t="s">
        <v>15</v>
      </c>
      <c r="E19" t="s">
        <v>12</v>
      </c>
      <c r="F19">
        <v>20</v>
      </c>
      <c r="G19" s="4">
        <v>44459</v>
      </c>
      <c r="H19" s="6">
        <v>107700</v>
      </c>
      <c r="I19" t="s">
        <v>16</v>
      </c>
    </row>
    <row r="20" spans="3:9" x14ac:dyDescent="0.25">
      <c r="C20" t="s">
        <v>84</v>
      </c>
      <c r="D20" t="s">
        <v>8</v>
      </c>
      <c r="E20" t="s">
        <v>12</v>
      </c>
      <c r="F20">
        <v>32</v>
      </c>
      <c r="G20" s="4">
        <v>44354</v>
      </c>
      <c r="H20" s="6">
        <v>43840</v>
      </c>
      <c r="I20" t="s">
        <v>13</v>
      </c>
    </row>
    <row r="21" spans="3:9" x14ac:dyDescent="0.25">
      <c r="C21" t="s">
        <v>105</v>
      </c>
      <c r="D21" t="s">
        <v>15</v>
      </c>
      <c r="E21" t="s">
        <v>9</v>
      </c>
      <c r="F21">
        <v>40</v>
      </c>
      <c r="G21" s="4">
        <v>44263</v>
      </c>
      <c r="H21" s="6">
        <v>99750</v>
      </c>
      <c r="I21" t="s">
        <v>16</v>
      </c>
    </row>
    <row r="22" spans="3:9" x14ac:dyDescent="0.25">
      <c r="C22" t="s">
        <v>47</v>
      </c>
      <c r="D22" t="s">
        <v>15</v>
      </c>
      <c r="E22" t="s">
        <v>9</v>
      </c>
      <c r="F22">
        <v>21</v>
      </c>
      <c r="G22" s="4">
        <v>44104</v>
      </c>
      <c r="H22" s="6">
        <v>37920</v>
      </c>
      <c r="I22" t="s">
        <v>16</v>
      </c>
    </row>
    <row r="23" spans="3:9" x14ac:dyDescent="0.25">
      <c r="C23" t="s">
        <v>31</v>
      </c>
      <c r="D23" t="s">
        <v>15</v>
      </c>
      <c r="E23" t="s">
        <v>9</v>
      </c>
      <c r="F23">
        <v>21</v>
      </c>
      <c r="G23" s="4">
        <v>44762</v>
      </c>
      <c r="H23" s="6">
        <v>57090</v>
      </c>
      <c r="I23" t="s">
        <v>16</v>
      </c>
    </row>
    <row r="24" spans="3:9" x14ac:dyDescent="0.25">
      <c r="C24" t="s">
        <v>30</v>
      </c>
      <c r="D24" t="s">
        <v>8</v>
      </c>
      <c r="E24" t="s">
        <v>12</v>
      </c>
      <c r="F24">
        <v>31</v>
      </c>
      <c r="G24" s="4">
        <v>44145</v>
      </c>
      <c r="H24" s="6">
        <v>41980</v>
      </c>
      <c r="I24" t="s">
        <v>16</v>
      </c>
    </row>
    <row r="25" spans="3:9" x14ac:dyDescent="0.25">
      <c r="C25" t="s">
        <v>78</v>
      </c>
      <c r="D25" t="s">
        <v>15</v>
      </c>
      <c r="E25" t="s">
        <v>56</v>
      </c>
      <c r="F25">
        <v>21</v>
      </c>
      <c r="G25" s="4">
        <v>44242</v>
      </c>
      <c r="H25" s="6">
        <v>75880</v>
      </c>
      <c r="I25" t="s">
        <v>16</v>
      </c>
    </row>
    <row r="26" spans="3:9" x14ac:dyDescent="0.25">
      <c r="C26" t="s">
        <v>36</v>
      </c>
      <c r="D26" t="s">
        <v>8</v>
      </c>
      <c r="E26" t="s">
        <v>21</v>
      </c>
      <c r="F26">
        <v>34</v>
      </c>
      <c r="G26" s="4">
        <v>44653</v>
      </c>
      <c r="H26" s="6">
        <v>58940</v>
      </c>
      <c r="I26" t="s">
        <v>16</v>
      </c>
    </row>
    <row r="27" spans="3:9" x14ac:dyDescent="0.25">
      <c r="C27" t="s">
        <v>27</v>
      </c>
      <c r="D27" t="s">
        <v>8</v>
      </c>
      <c r="E27" t="s">
        <v>21</v>
      </c>
      <c r="F27">
        <v>30</v>
      </c>
      <c r="G27" s="4">
        <v>44389</v>
      </c>
      <c r="H27" s="6">
        <v>67910</v>
      </c>
      <c r="I27" t="s">
        <v>24</v>
      </c>
    </row>
    <row r="28" spans="3:9" x14ac:dyDescent="0.25">
      <c r="C28" t="s">
        <v>26</v>
      </c>
      <c r="D28" t="s">
        <v>8</v>
      </c>
      <c r="E28" t="s">
        <v>12</v>
      </c>
      <c r="F28">
        <v>31</v>
      </c>
      <c r="G28" s="4">
        <v>44663</v>
      </c>
      <c r="H28" s="6">
        <v>58100</v>
      </c>
      <c r="I28" t="s">
        <v>16</v>
      </c>
    </row>
    <row r="29" spans="3:9" x14ac:dyDescent="0.25">
      <c r="C29" t="s">
        <v>53</v>
      </c>
      <c r="D29" t="s">
        <v>15</v>
      </c>
      <c r="E29" t="s">
        <v>21</v>
      </c>
      <c r="F29">
        <v>27</v>
      </c>
      <c r="G29" s="4">
        <v>44567</v>
      </c>
      <c r="H29" s="6">
        <v>48980</v>
      </c>
      <c r="I29" t="s">
        <v>16</v>
      </c>
    </row>
    <row r="30" spans="3:9" x14ac:dyDescent="0.25">
      <c r="C30" t="s">
        <v>20</v>
      </c>
      <c r="E30" t="s">
        <v>21</v>
      </c>
      <c r="F30">
        <v>30</v>
      </c>
      <c r="G30" s="4">
        <v>44597</v>
      </c>
      <c r="H30" s="6">
        <v>64000</v>
      </c>
      <c r="I30" t="s">
        <v>16</v>
      </c>
    </row>
    <row r="31" spans="3:9" x14ac:dyDescent="0.25">
      <c r="C31" t="s">
        <v>7</v>
      </c>
      <c r="D31" t="s">
        <v>8</v>
      </c>
      <c r="E31" t="s">
        <v>9</v>
      </c>
      <c r="F31">
        <v>42</v>
      </c>
      <c r="G31" s="4">
        <v>44779</v>
      </c>
      <c r="H31" s="6">
        <v>75000</v>
      </c>
      <c r="I31" t="s">
        <v>10</v>
      </c>
    </row>
    <row r="32" spans="3:9" x14ac:dyDescent="0.25">
      <c r="C32" t="s">
        <v>74</v>
      </c>
      <c r="D32" t="s">
        <v>8</v>
      </c>
      <c r="E32" t="s">
        <v>12</v>
      </c>
      <c r="F32">
        <v>40</v>
      </c>
      <c r="G32" s="4">
        <v>44337</v>
      </c>
      <c r="H32" s="6">
        <v>87620</v>
      </c>
      <c r="I32" t="s">
        <v>16</v>
      </c>
    </row>
    <row r="33" spans="3:9" x14ac:dyDescent="0.25">
      <c r="C33" t="s">
        <v>44</v>
      </c>
      <c r="D33" t="s">
        <v>8</v>
      </c>
      <c r="E33" t="s">
        <v>12</v>
      </c>
      <c r="F33">
        <v>29</v>
      </c>
      <c r="G33" s="4">
        <v>44023</v>
      </c>
      <c r="H33" s="6">
        <v>34980</v>
      </c>
      <c r="I33" t="s">
        <v>16</v>
      </c>
    </row>
    <row r="34" spans="3:9" x14ac:dyDescent="0.25">
      <c r="C34" t="s">
        <v>35</v>
      </c>
      <c r="D34" t="s">
        <v>8</v>
      </c>
      <c r="E34" t="s">
        <v>21</v>
      </c>
      <c r="F34">
        <v>28</v>
      </c>
      <c r="G34" s="4">
        <v>44185</v>
      </c>
      <c r="H34" s="6">
        <v>75970</v>
      </c>
      <c r="I34" t="s">
        <v>16</v>
      </c>
    </row>
    <row r="35" spans="3:9" x14ac:dyDescent="0.25">
      <c r="C35" t="s">
        <v>38</v>
      </c>
      <c r="D35" t="s">
        <v>8</v>
      </c>
      <c r="E35" t="s">
        <v>21</v>
      </c>
      <c r="F35">
        <v>34</v>
      </c>
      <c r="G35" s="4">
        <v>44612</v>
      </c>
      <c r="H35" s="6">
        <v>60130</v>
      </c>
      <c r="I35" t="s">
        <v>16</v>
      </c>
    </row>
    <row r="36" spans="3:9" x14ac:dyDescent="0.25">
      <c r="C36" t="s">
        <v>41</v>
      </c>
      <c r="D36" t="s">
        <v>8</v>
      </c>
      <c r="E36" t="s">
        <v>12</v>
      </c>
      <c r="F36">
        <v>33</v>
      </c>
      <c r="G36" s="4">
        <v>44374</v>
      </c>
      <c r="H36" s="6">
        <v>75480</v>
      </c>
      <c r="I36" t="s">
        <v>42</v>
      </c>
    </row>
    <row r="37" spans="3:9" x14ac:dyDescent="0.25">
      <c r="C37" t="s">
        <v>40</v>
      </c>
      <c r="D37" t="s">
        <v>15</v>
      </c>
      <c r="E37" t="s">
        <v>9</v>
      </c>
      <c r="F37">
        <v>33</v>
      </c>
      <c r="G37" s="4">
        <v>44164</v>
      </c>
      <c r="H37" s="6">
        <v>115920</v>
      </c>
      <c r="I37" t="s">
        <v>16</v>
      </c>
    </row>
    <row r="38" spans="3:9" x14ac:dyDescent="0.25">
      <c r="C38" t="s">
        <v>48</v>
      </c>
      <c r="D38" t="s">
        <v>8</v>
      </c>
      <c r="E38" t="s">
        <v>19</v>
      </c>
      <c r="F38">
        <v>36</v>
      </c>
      <c r="G38" s="4">
        <v>44494</v>
      </c>
      <c r="H38" s="6">
        <v>78540</v>
      </c>
      <c r="I38" t="s">
        <v>16</v>
      </c>
    </row>
    <row r="39" spans="3:9" x14ac:dyDescent="0.25">
      <c r="C39" t="s">
        <v>34</v>
      </c>
      <c r="D39" t="s">
        <v>15</v>
      </c>
      <c r="E39" t="s">
        <v>9</v>
      </c>
      <c r="F39">
        <v>25</v>
      </c>
      <c r="G39" s="4">
        <v>44726</v>
      </c>
      <c r="H39" s="6">
        <v>109190</v>
      </c>
      <c r="I39" t="s">
        <v>13</v>
      </c>
    </row>
    <row r="40" spans="3:9" x14ac:dyDescent="0.25">
      <c r="C40" t="s">
        <v>73</v>
      </c>
      <c r="D40" t="s">
        <v>8</v>
      </c>
      <c r="E40" t="s">
        <v>19</v>
      </c>
      <c r="F40">
        <v>34</v>
      </c>
      <c r="G40" s="4">
        <v>44721</v>
      </c>
      <c r="H40" s="6">
        <v>49630</v>
      </c>
      <c r="I40" t="s">
        <v>24</v>
      </c>
    </row>
    <row r="41" spans="3:9" x14ac:dyDescent="0.25">
      <c r="C41" t="s">
        <v>107</v>
      </c>
      <c r="D41" t="s">
        <v>8</v>
      </c>
      <c r="E41" t="s">
        <v>9</v>
      </c>
      <c r="F41">
        <v>28</v>
      </c>
      <c r="G41" s="4">
        <v>44630</v>
      </c>
      <c r="H41" s="6">
        <v>99970</v>
      </c>
      <c r="I41" t="s">
        <v>16</v>
      </c>
    </row>
    <row r="42" spans="3:9" x14ac:dyDescent="0.25">
      <c r="C42" t="s">
        <v>71</v>
      </c>
      <c r="D42" t="s">
        <v>8</v>
      </c>
      <c r="E42" t="s">
        <v>12</v>
      </c>
      <c r="F42">
        <v>33</v>
      </c>
      <c r="G42" s="4">
        <v>44190</v>
      </c>
      <c r="H42" s="6">
        <v>96140</v>
      </c>
      <c r="I42" t="s">
        <v>16</v>
      </c>
    </row>
    <row r="43" spans="3:9" x14ac:dyDescent="0.25">
      <c r="C43" t="s">
        <v>50</v>
      </c>
      <c r="D43" t="s">
        <v>15</v>
      </c>
      <c r="E43" t="s">
        <v>9</v>
      </c>
      <c r="F43">
        <v>31</v>
      </c>
      <c r="G43" s="4">
        <v>44724</v>
      </c>
      <c r="H43" s="6">
        <v>103550</v>
      </c>
      <c r="I43" t="s">
        <v>16</v>
      </c>
    </row>
    <row r="44" spans="3:9" x14ac:dyDescent="0.25">
      <c r="C44" t="s">
        <v>14</v>
      </c>
      <c r="D44" t="s">
        <v>15</v>
      </c>
      <c r="E44" t="s">
        <v>12</v>
      </c>
      <c r="F44">
        <v>31</v>
      </c>
      <c r="G44" s="4">
        <v>44511</v>
      </c>
      <c r="H44" s="6">
        <v>48950</v>
      </c>
      <c r="I44" t="s">
        <v>16</v>
      </c>
    </row>
    <row r="45" spans="3:9" x14ac:dyDescent="0.25">
      <c r="C45" t="s">
        <v>63</v>
      </c>
      <c r="D45" t="s">
        <v>15</v>
      </c>
      <c r="E45" t="s">
        <v>21</v>
      </c>
      <c r="F45">
        <v>24</v>
      </c>
      <c r="G45" s="4">
        <v>44436</v>
      </c>
      <c r="H45" s="6">
        <v>52610</v>
      </c>
      <c r="I45" t="s">
        <v>24</v>
      </c>
    </row>
    <row r="46" spans="3:9" x14ac:dyDescent="0.25">
      <c r="C46" t="s">
        <v>72</v>
      </c>
      <c r="D46" t="s">
        <v>8</v>
      </c>
      <c r="E46" t="s">
        <v>9</v>
      </c>
      <c r="F46">
        <v>36</v>
      </c>
      <c r="G46" s="4">
        <v>44529</v>
      </c>
      <c r="H46" s="6">
        <v>78390</v>
      </c>
      <c r="I46" t="s">
        <v>16</v>
      </c>
    </row>
    <row r="47" spans="3:9" x14ac:dyDescent="0.25">
      <c r="C47" t="s">
        <v>88</v>
      </c>
      <c r="D47" t="s">
        <v>8</v>
      </c>
      <c r="E47" t="s">
        <v>21</v>
      </c>
      <c r="F47">
        <v>33</v>
      </c>
      <c r="G47" s="4">
        <v>44809</v>
      </c>
      <c r="H47" s="6">
        <v>86570</v>
      </c>
      <c r="I47" t="s">
        <v>16</v>
      </c>
    </row>
    <row r="48" spans="3:9" x14ac:dyDescent="0.25">
      <c r="C48" t="s">
        <v>92</v>
      </c>
      <c r="D48" t="s">
        <v>8</v>
      </c>
      <c r="E48" t="s">
        <v>12</v>
      </c>
      <c r="F48">
        <v>27</v>
      </c>
      <c r="G48" s="4">
        <v>44686</v>
      </c>
      <c r="H48" s="6">
        <v>83750</v>
      </c>
      <c r="I48" t="s">
        <v>16</v>
      </c>
    </row>
    <row r="49" spans="3:9" x14ac:dyDescent="0.25">
      <c r="C49" t="s">
        <v>102</v>
      </c>
      <c r="D49" t="s">
        <v>8</v>
      </c>
      <c r="E49" t="s">
        <v>21</v>
      </c>
      <c r="F49">
        <v>34</v>
      </c>
      <c r="G49" s="4">
        <v>44445</v>
      </c>
      <c r="H49" s="6">
        <v>92450</v>
      </c>
      <c r="I49" t="s">
        <v>16</v>
      </c>
    </row>
    <row r="50" spans="3:9" x14ac:dyDescent="0.25">
      <c r="C50" t="s">
        <v>64</v>
      </c>
      <c r="D50" t="s">
        <v>15</v>
      </c>
      <c r="E50" t="s">
        <v>12</v>
      </c>
      <c r="F50">
        <v>20</v>
      </c>
      <c r="G50" s="4">
        <v>44183</v>
      </c>
      <c r="H50" s="6">
        <v>112650</v>
      </c>
      <c r="I50" t="s">
        <v>16</v>
      </c>
    </row>
    <row r="51" spans="3:9" x14ac:dyDescent="0.25">
      <c r="C51" t="s">
        <v>104</v>
      </c>
      <c r="D51" t="s">
        <v>15</v>
      </c>
      <c r="E51" t="s">
        <v>9</v>
      </c>
      <c r="F51">
        <v>20</v>
      </c>
      <c r="G51" s="4">
        <v>44744</v>
      </c>
      <c r="H51" s="6">
        <v>79570</v>
      </c>
      <c r="I51" t="s">
        <v>16</v>
      </c>
    </row>
    <row r="52" spans="3:9" x14ac:dyDescent="0.25">
      <c r="C52" t="s">
        <v>91</v>
      </c>
      <c r="D52" t="s">
        <v>8</v>
      </c>
      <c r="E52" t="s">
        <v>19</v>
      </c>
      <c r="F52">
        <v>20</v>
      </c>
      <c r="G52" s="4">
        <v>44537</v>
      </c>
      <c r="H52" s="6">
        <v>68900</v>
      </c>
      <c r="I52" t="s">
        <v>24</v>
      </c>
    </row>
    <row r="53" spans="3:9" x14ac:dyDescent="0.25">
      <c r="C53" t="s">
        <v>39</v>
      </c>
      <c r="D53" t="s">
        <v>8</v>
      </c>
      <c r="E53" t="s">
        <v>12</v>
      </c>
      <c r="F53">
        <v>25</v>
      </c>
      <c r="G53" s="4">
        <v>44694</v>
      </c>
      <c r="H53" s="6">
        <v>80700</v>
      </c>
      <c r="I53" t="s">
        <v>13</v>
      </c>
    </row>
    <row r="54" spans="3:9" x14ac:dyDescent="0.25">
      <c r="C54" t="s">
        <v>100</v>
      </c>
      <c r="D54" t="s">
        <v>15</v>
      </c>
      <c r="E54" t="s">
        <v>9</v>
      </c>
      <c r="F54">
        <v>19</v>
      </c>
      <c r="G54" s="4">
        <v>44277</v>
      </c>
      <c r="H54" s="6">
        <v>58960</v>
      </c>
      <c r="I54" t="s">
        <v>16</v>
      </c>
    </row>
    <row r="55" spans="3:9" x14ac:dyDescent="0.25">
      <c r="C55" t="s">
        <v>106</v>
      </c>
      <c r="D55" t="s">
        <v>15</v>
      </c>
      <c r="E55" t="s">
        <v>12</v>
      </c>
      <c r="F55">
        <v>36</v>
      </c>
      <c r="G55" s="4">
        <v>44019</v>
      </c>
      <c r="H55" s="6">
        <v>118840</v>
      </c>
      <c r="I55" t="s">
        <v>16</v>
      </c>
    </row>
    <row r="56" spans="3:9" x14ac:dyDescent="0.25">
      <c r="C56" t="s">
        <v>29</v>
      </c>
      <c r="D56" t="s">
        <v>15</v>
      </c>
      <c r="E56" t="s">
        <v>21</v>
      </c>
      <c r="F56">
        <v>28</v>
      </c>
      <c r="G56" s="4">
        <v>44041</v>
      </c>
      <c r="H56" s="6">
        <v>48170</v>
      </c>
      <c r="I56" t="s">
        <v>13</v>
      </c>
    </row>
    <row r="57" spans="3:9" x14ac:dyDescent="0.25">
      <c r="C57" t="s">
        <v>108</v>
      </c>
      <c r="D57" t="s">
        <v>8</v>
      </c>
      <c r="E57" t="s">
        <v>56</v>
      </c>
      <c r="F57">
        <v>32</v>
      </c>
      <c r="G57" s="4">
        <v>44400</v>
      </c>
      <c r="H57" s="6">
        <v>45510</v>
      </c>
      <c r="I57" t="s">
        <v>16</v>
      </c>
    </row>
    <row r="58" spans="3:9" x14ac:dyDescent="0.25">
      <c r="C58" t="s">
        <v>64</v>
      </c>
      <c r="D58" t="s">
        <v>15</v>
      </c>
      <c r="E58" t="s">
        <v>9</v>
      </c>
      <c r="F58">
        <v>34</v>
      </c>
      <c r="G58" s="4">
        <v>44703</v>
      </c>
      <c r="H58" s="6">
        <v>112650</v>
      </c>
      <c r="I58" t="s">
        <v>16</v>
      </c>
    </row>
    <row r="59" spans="3:9" x14ac:dyDescent="0.25">
      <c r="C59" t="s">
        <v>83</v>
      </c>
      <c r="D59" t="s">
        <v>8</v>
      </c>
      <c r="E59" t="s">
        <v>9</v>
      </c>
      <c r="F59">
        <v>36</v>
      </c>
      <c r="G59" s="4">
        <v>44085</v>
      </c>
      <c r="H59" s="6">
        <v>114890</v>
      </c>
      <c r="I59" t="s">
        <v>16</v>
      </c>
    </row>
    <row r="60" spans="3:9" x14ac:dyDescent="0.25">
      <c r="C60" t="s">
        <v>67</v>
      </c>
      <c r="D60" t="s">
        <v>15</v>
      </c>
      <c r="E60" t="s">
        <v>12</v>
      </c>
      <c r="F60">
        <v>30</v>
      </c>
      <c r="G60" s="4">
        <v>44850</v>
      </c>
      <c r="H60" s="6">
        <v>69710</v>
      </c>
      <c r="I60" t="s">
        <v>16</v>
      </c>
    </row>
    <row r="61" spans="3:9" x14ac:dyDescent="0.25">
      <c r="C61" t="s">
        <v>94</v>
      </c>
      <c r="D61" t="s">
        <v>15</v>
      </c>
      <c r="E61" t="s">
        <v>21</v>
      </c>
      <c r="F61">
        <v>36</v>
      </c>
      <c r="G61" s="4">
        <v>44333</v>
      </c>
      <c r="H61" s="6">
        <v>71380</v>
      </c>
      <c r="I61" t="s">
        <v>16</v>
      </c>
    </row>
    <row r="62" spans="3:9" x14ac:dyDescent="0.25">
      <c r="C62" t="s">
        <v>33</v>
      </c>
      <c r="D62" t="s">
        <v>8</v>
      </c>
      <c r="E62" t="s">
        <v>19</v>
      </c>
      <c r="F62">
        <v>38</v>
      </c>
      <c r="G62" s="4">
        <v>44377</v>
      </c>
      <c r="H62" s="6">
        <v>109160</v>
      </c>
      <c r="I62" t="s">
        <v>10</v>
      </c>
    </row>
    <row r="63" spans="3:9" x14ac:dyDescent="0.25">
      <c r="C63" t="s">
        <v>98</v>
      </c>
      <c r="D63" t="s">
        <v>15</v>
      </c>
      <c r="E63" t="s">
        <v>9</v>
      </c>
      <c r="F63">
        <v>27</v>
      </c>
      <c r="G63" s="4">
        <v>44609</v>
      </c>
      <c r="H63" s="6">
        <v>113280</v>
      </c>
      <c r="I63" t="s">
        <v>42</v>
      </c>
    </row>
    <row r="64" spans="3:9" x14ac:dyDescent="0.25">
      <c r="C64" t="s">
        <v>25</v>
      </c>
      <c r="D64" t="s">
        <v>15</v>
      </c>
      <c r="E64" t="s">
        <v>12</v>
      </c>
      <c r="F64">
        <v>30</v>
      </c>
      <c r="G64" s="4">
        <v>44273</v>
      </c>
      <c r="H64" s="6">
        <v>69120</v>
      </c>
      <c r="I64" t="s">
        <v>16</v>
      </c>
    </row>
    <row r="65" spans="3:9" x14ac:dyDescent="0.25">
      <c r="C65" t="s">
        <v>55</v>
      </c>
      <c r="D65" t="s">
        <v>8</v>
      </c>
      <c r="E65" t="s">
        <v>56</v>
      </c>
      <c r="F65">
        <v>37</v>
      </c>
      <c r="G65" s="4">
        <v>44451</v>
      </c>
      <c r="H65" s="6">
        <v>118100</v>
      </c>
      <c r="I65" t="s">
        <v>16</v>
      </c>
    </row>
    <row r="66" spans="3:9" x14ac:dyDescent="0.25">
      <c r="C66" t="s">
        <v>62</v>
      </c>
      <c r="D66" t="s">
        <v>8</v>
      </c>
      <c r="E66" t="s">
        <v>9</v>
      </c>
      <c r="F66">
        <v>22</v>
      </c>
      <c r="G66" s="4">
        <v>44450</v>
      </c>
      <c r="H66" s="6">
        <v>76900</v>
      </c>
      <c r="I66" t="s">
        <v>13</v>
      </c>
    </row>
    <row r="67" spans="3:9" x14ac:dyDescent="0.25">
      <c r="C67" t="s">
        <v>17</v>
      </c>
      <c r="D67" t="s">
        <v>8</v>
      </c>
      <c r="E67" t="s">
        <v>12</v>
      </c>
      <c r="F67">
        <v>43</v>
      </c>
      <c r="G67" s="4">
        <v>45045</v>
      </c>
      <c r="H67" s="6">
        <v>114870</v>
      </c>
      <c r="I67" t="s">
        <v>16</v>
      </c>
    </row>
    <row r="68" spans="3:9" x14ac:dyDescent="0.25">
      <c r="C68" t="s">
        <v>52</v>
      </c>
      <c r="E68" t="s">
        <v>12</v>
      </c>
      <c r="F68">
        <v>32</v>
      </c>
      <c r="G68" s="4">
        <v>44774</v>
      </c>
      <c r="H68" s="6">
        <v>91310</v>
      </c>
      <c r="I68" t="s">
        <v>16</v>
      </c>
    </row>
    <row r="69" spans="3:9" x14ac:dyDescent="0.25">
      <c r="C69" t="s">
        <v>43</v>
      </c>
      <c r="D69" t="s">
        <v>8</v>
      </c>
      <c r="E69" t="s">
        <v>9</v>
      </c>
      <c r="F69">
        <v>28</v>
      </c>
      <c r="G69" s="4">
        <v>44486</v>
      </c>
      <c r="H69" s="6">
        <v>104770</v>
      </c>
      <c r="I69" t="s">
        <v>16</v>
      </c>
    </row>
    <row r="70" spans="3:9" x14ac:dyDescent="0.25">
      <c r="C70" t="s">
        <v>89</v>
      </c>
      <c r="D70" t="s">
        <v>15</v>
      </c>
      <c r="E70" t="s">
        <v>19</v>
      </c>
      <c r="F70">
        <v>27</v>
      </c>
      <c r="G70" s="4">
        <v>44134</v>
      </c>
      <c r="H70" s="6">
        <v>54970</v>
      </c>
      <c r="I70" t="s">
        <v>16</v>
      </c>
    </row>
    <row r="71" spans="3:9" x14ac:dyDescent="0.25">
      <c r="C71" t="s">
        <v>11</v>
      </c>
      <c r="E71" t="s">
        <v>12</v>
      </c>
      <c r="F71">
        <v>26</v>
      </c>
      <c r="G71" s="4">
        <v>44271</v>
      </c>
      <c r="H71" s="6">
        <v>90700</v>
      </c>
      <c r="I71" t="s">
        <v>13</v>
      </c>
    </row>
    <row r="72" spans="3:9" x14ac:dyDescent="0.25">
      <c r="C72" t="s">
        <v>109</v>
      </c>
      <c r="D72" t="s">
        <v>8</v>
      </c>
      <c r="E72" t="s">
        <v>19</v>
      </c>
      <c r="F72">
        <v>38</v>
      </c>
      <c r="G72" s="4">
        <v>44329</v>
      </c>
      <c r="H72" s="6">
        <v>56870</v>
      </c>
      <c r="I72" t="s">
        <v>13</v>
      </c>
    </row>
    <row r="73" spans="3:9" x14ac:dyDescent="0.25">
      <c r="C73" t="s">
        <v>77</v>
      </c>
      <c r="D73" t="s">
        <v>8</v>
      </c>
      <c r="E73" t="s">
        <v>19</v>
      </c>
      <c r="F73">
        <v>25</v>
      </c>
      <c r="G73" s="4">
        <v>44205</v>
      </c>
      <c r="H73" s="6">
        <v>92700</v>
      </c>
      <c r="I73" t="s">
        <v>16</v>
      </c>
    </row>
    <row r="74" spans="3:9" x14ac:dyDescent="0.25">
      <c r="C74" t="s">
        <v>32</v>
      </c>
      <c r="D74" t="s">
        <v>8</v>
      </c>
      <c r="E74" t="s">
        <v>21</v>
      </c>
      <c r="F74">
        <v>21</v>
      </c>
      <c r="G74" s="4">
        <v>44317</v>
      </c>
      <c r="H74" s="6">
        <v>65920</v>
      </c>
      <c r="I74" t="s">
        <v>16</v>
      </c>
    </row>
    <row r="75" spans="3:9" x14ac:dyDescent="0.25">
      <c r="C75" t="s">
        <v>59</v>
      </c>
      <c r="D75" t="s">
        <v>15</v>
      </c>
      <c r="E75" t="s">
        <v>9</v>
      </c>
      <c r="F75">
        <v>26</v>
      </c>
      <c r="G75" s="4">
        <v>44225</v>
      </c>
      <c r="H75" s="6">
        <v>47360</v>
      </c>
      <c r="I75" t="s">
        <v>16</v>
      </c>
    </row>
    <row r="76" spans="3:9" x14ac:dyDescent="0.25">
      <c r="C76" t="s">
        <v>37</v>
      </c>
      <c r="D76" t="s">
        <v>15</v>
      </c>
      <c r="E76" t="s">
        <v>9</v>
      </c>
      <c r="F76">
        <v>30</v>
      </c>
      <c r="G76" s="4">
        <v>44666</v>
      </c>
      <c r="H76" s="6">
        <v>60570</v>
      </c>
      <c r="I76" t="s">
        <v>16</v>
      </c>
    </row>
    <row r="77" spans="3:9" x14ac:dyDescent="0.25">
      <c r="C77" t="s">
        <v>96</v>
      </c>
      <c r="D77" t="s">
        <v>8</v>
      </c>
      <c r="E77" t="s">
        <v>9</v>
      </c>
      <c r="F77">
        <v>28</v>
      </c>
      <c r="G77" s="4">
        <v>44649</v>
      </c>
      <c r="H77" s="6">
        <v>104120</v>
      </c>
      <c r="I77" t="s">
        <v>16</v>
      </c>
    </row>
    <row r="78" spans="3:9" x14ac:dyDescent="0.25">
      <c r="C78" t="s">
        <v>23</v>
      </c>
      <c r="D78" t="s">
        <v>15</v>
      </c>
      <c r="E78" t="s">
        <v>12</v>
      </c>
      <c r="F78">
        <v>37</v>
      </c>
      <c r="G78" s="4">
        <v>44338</v>
      </c>
      <c r="H78" s="6">
        <v>88050</v>
      </c>
      <c r="I78" t="s">
        <v>24</v>
      </c>
    </row>
    <row r="79" spans="3:9" x14ac:dyDescent="0.25">
      <c r="C79" t="s">
        <v>103</v>
      </c>
      <c r="D79" t="s">
        <v>15</v>
      </c>
      <c r="E79" t="s">
        <v>12</v>
      </c>
      <c r="F79">
        <v>24</v>
      </c>
      <c r="G79" s="4">
        <v>44686</v>
      </c>
      <c r="H79" s="6">
        <v>100420</v>
      </c>
      <c r="I79" t="s">
        <v>16</v>
      </c>
    </row>
    <row r="80" spans="3:9" x14ac:dyDescent="0.25">
      <c r="C80" t="s">
        <v>54</v>
      </c>
      <c r="D80" t="s">
        <v>8</v>
      </c>
      <c r="E80" t="s">
        <v>9</v>
      </c>
      <c r="F80">
        <v>30</v>
      </c>
      <c r="G80" s="4">
        <v>44850</v>
      </c>
      <c r="H80" s="6">
        <v>114180</v>
      </c>
      <c r="I80" t="s">
        <v>16</v>
      </c>
    </row>
    <row r="81" spans="3:9" x14ac:dyDescent="0.25">
      <c r="C81" t="s">
        <v>86</v>
      </c>
      <c r="D81" t="s">
        <v>8</v>
      </c>
      <c r="E81" t="s">
        <v>12</v>
      </c>
      <c r="F81">
        <v>21</v>
      </c>
      <c r="G81" s="4">
        <v>44678</v>
      </c>
      <c r="H81" s="6">
        <v>33920</v>
      </c>
      <c r="I81" t="s">
        <v>16</v>
      </c>
    </row>
    <row r="82" spans="3:9" x14ac:dyDescent="0.25">
      <c r="C82" t="s">
        <v>69</v>
      </c>
      <c r="D82" t="s">
        <v>15</v>
      </c>
      <c r="E82" t="s">
        <v>9</v>
      </c>
      <c r="F82">
        <v>23</v>
      </c>
      <c r="G82" s="4">
        <v>44440</v>
      </c>
      <c r="H82" s="6">
        <v>106460</v>
      </c>
      <c r="I82" t="s">
        <v>16</v>
      </c>
    </row>
    <row r="83" spans="3:9" x14ac:dyDescent="0.25">
      <c r="C83" t="s">
        <v>57</v>
      </c>
      <c r="D83" t="s">
        <v>15</v>
      </c>
      <c r="E83" t="s">
        <v>9</v>
      </c>
      <c r="F83">
        <v>35</v>
      </c>
      <c r="G83" s="4">
        <v>44727</v>
      </c>
      <c r="H83" s="6">
        <v>40400</v>
      </c>
      <c r="I83" t="s">
        <v>16</v>
      </c>
    </row>
    <row r="84" spans="3:9" x14ac:dyDescent="0.25">
      <c r="C84" t="s">
        <v>68</v>
      </c>
      <c r="D84" t="s">
        <v>15</v>
      </c>
      <c r="E84" t="s">
        <v>21</v>
      </c>
      <c r="F84">
        <v>27</v>
      </c>
      <c r="G84" s="4">
        <v>44236</v>
      </c>
      <c r="H84" s="6">
        <v>91650</v>
      </c>
      <c r="I84" t="s">
        <v>13</v>
      </c>
    </row>
    <row r="85" spans="3:9" x14ac:dyDescent="0.25">
      <c r="C85" t="s">
        <v>99</v>
      </c>
      <c r="D85" t="s">
        <v>15</v>
      </c>
      <c r="E85" t="s">
        <v>19</v>
      </c>
      <c r="F85">
        <v>43</v>
      </c>
      <c r="G85" s="4">
        <v>44620</v>
      </c>
      <c r="H85" s="6">
        <v>36040</v>
      </c>
      <c r="I85" t="s">
        <v>16</v>
      </c>
    </row>
    <row r="86" spans="3:9" x14ac:dyDescent="0.25">
      <c r="C86" t="s">
        <v>101</v>
      </c>
      <c r="D86" t="s">
        <v>8</v>
      </c>
      <c r="E86" t="s">
        <v>12</v>
      </c>
      <c r="F86">
        <v>40</v>
      </c>
      <c r="G86" s="4">
        <v>44381</v>
      </c>
      <c r="H86" s="6">
        <v>104410</v>
      </c>
      <c r="I86" t="s">
        <v>16</v>
      </c>
    </row>
    <row r="87" spans="3:9" x14ac:dyDescent="0.25">
      <c r="C87" t="s">
        <v>85</v>
      </c>
      <c r="D87" t="s">
        <v>15</v>
      </c>
      <c r="E87" t="s">
        <v>21</v>
      </c>
      <c r="F87">
        <v>30</v>
      </c>
      <c r="G87" s="4">
        <v>44606</v>
      </c>
      <c r="H87" s="6">
        <v>96800</v>
      </c>
      <c r="I87" t="s">
        <v>16</v>
      </c>
    </row>
    <row r="88" spans="3:9" x14ac:dyDescent="0.25">
      <c r="C88" t="s">
        <v>28</v>
      </c>
      <c r="D88" t="s">
        <v>8</v>
      </c>
      <c r="E88" t="s">
        <v>21</v>
      </c>
      <c r="F88">
        <v>34</v>
      </c>
      <c r="G88" s="4">
        <v>44459</v>
      </c>
      <c r="H88" s="6">
        <v>85000</v>
      </c>
      <c r="I88" t="s">
        <v>16</v>
      </c>
    </row>
    <row r="89" spans="3:9" x14ac:dyDescent="0.25">
      <c r="C89" t="s">
        <v>80</v>
      </c>
      <c r="D89" t="s">
        <v>15</v>
      </c>
      <c r="E89" t="s">
        <v>19</v>
      </c>
      <c r="F89">
        <v>28</v>
      </c>
      <c r="G89" s="4">
        <v>44820</v>
      </c>
      <c r="H89" s="6">
        <v>43510</v>
      </c>
      <c r="I89" t="s">
        <v>42</v>
      </c>
    </row>
    <row r="90" spans="3:9" x14ac:dyDescent="0.25">
      <c r="C90" t="s">
        <v>79</v>
      </c>
      <c r="D90" t="s">
        <v>15</v>
      </c>
      <c r="E90" t="s">
        <v>21</v>
      </c>
      <c r="F90">
        <v>33</v>
      </c>
      <c r="G90" s="4">
        <v>44243</v>
      </c>
      <c r="H90" s="6">
        <v>59430</v>
      </c>
      <c r="I90" t="s">
        <v>16</v>
      </c>
    </row>
    <row r="91" spans="3:9" x14ac:dyDescent="0.25">
      <c r="C91" t="s">
        <v>93</v>
      </c>
      <c r="D91" t="s">
        <v>8</v>
      </c>
      <c r="E91" t="s">
        <v>21</v>
      </c>
      <c r="F91">
        <v>33</v>
      </c>
      <c r="G91" s="4">
        <v>44067</v>
      </c>
      <c r="H91" s="6">
        <v>65360</v>
      </c>
      <c r="I91" t="s">
        <v>16</v>
      </c>
    </row>
    <row r="92" spans="3:9" x14ac:dyDescent="0.25">
      <c r="C92" t="s">
        <v>66</v>
      </c>
      <c r="D92" t="s">
        <v>8</v>
      </c>
      <c r="E92" t="s">
        <v>9</v>
      </c>
      <c r="F92">
        <v>32</v>
      </c>
      <c r="G92" s="4">
        <v>44611</v>
      </c>
      <c r="H92" s="6">
        <v>41570</v>
      </c>
      <c r="I92" t="s">
        <v>16</v>
      </c>
    </row>
    <row r="93" spans="3:9" x14ac:dyDescent="0.25">
      <c r="C93" t="s">
        <v>95</v>
      </c>
      <c r="D93" t="s">
        <v>8</v>
      </c>
      <c r="E93" t="s">
        <v>12</v>
      </c>
      <c r="F93">
        <v>33</v>
      </c>
      <c r="G93" s="4">
        <v>44312</v>
      </c>
      <c r="H93" s="6">
        <v>75280</v>
      </c>
      <c r="I93" t="s">
        <v>16</v>
      </c>
    </row>
    <row r="94" spans="3:9" x14ac:dyDescent="0.25">
      <c r="C94" t="s">
        <v>18</v>
      </c>
      <c r="D94" t="s">
        <v>15</v>
      </c>
      <c r="E94" t="s">
        <v>19</v>
      </c>
      <c r="F94">
        <v>33</v>
      </c>
      <c r="G94" s="4">
        <v>44385</v>
      </c>
      <c r="H94" s="6">
        <v>74550</v>
      </c>
      <c r="I94" t="s">
        <v>16</v>
      </c>
    </row>
    <row r="95" spans="3:9" x14ac:dyDescent="0.25">
      <c r="C95" t="s">
        <v>45</v>
      </c>
      <c r="D95" t="s">
        <v>15</v>
      </c>
      <c r="E95" t="s">
        <v>9</v>
      </c>
      <c r="F95">
        <v>30</v>
      </c>
      <c r="G95" s="4">
        <v>44701</v>
      </c>
      <c r="H95" s="6">
        <v>67950</v>
      </c>
      <c r="I95" t="s">
        <v>16</v>
      </c>
    </row>
    <row r="96" spans="3:9" x14ac:dyDescent="0.25">
      <c r="C96" t="s">
        <v>90</v>
      </c>
      <c r="D96" t="s">
        <v>15</v>
      </c>
      <c r="E96" t="s">
        <v>21</v>
      </c>
      <c r="F96">
        <v>42</v>
      </c>
      <c r="G96" s="4">
        <v>44731</v>
      </c>
      <c r="H96" s="6">
        <v>70270</v>
      </c>
      <c r="I96" t="s">
        <v>24</v>
      </c>
    </row>
    <row r="97" spans="3:9" x14ac:dyDescent="0.25">
      <c r="C97" t="s">
        <v>46</v>
      </c>
      <c r="D97" t="s">
        <v>15</v>
      </c>
      <c r="E97" t="s">
        <v>9</v>
      </c>
      <c r="F97">
        <v>26</v>
      </c>
      <c r="G97" s="4">
        <v>44411</v>
      </c>
      <c r="H97" s="6">
        <v>53540</v>
      </c>
      <c r="I97" t="s">
        <v>16</v>
      </c>
    </row>
    <row r="98" spans="3:9" x14ac:dyDescent="0.25">
      <c r="C98" t="s">
        <v>58</v>
      </c>
      <c r="D98" t="s">
        <v>15</v>
      </c>
      <c r="E98" t="s">
        <v>19</v>
      </c>
      <c r="F98">
        <v>22</v>
      </c>
      <c r="G98" s="4">
        <v>44446</v>
      </c>
      <c r="H98" s="6">
        <v>112780</v>
      </c>
      <c r="I98" t="s">
        <v>13</v>
      </c>
    </row>
    <row r="99" spans="3:9" x14ac:dyDescent="0.25">
      <c r="C99" t="s">
        <v>70</v>
      </c>
      <c r="D99" t="s">
        <v>15</v>
      </c>
      <c r="E99" t="s">
        <v>9</v>
      </c>
      <c r="F99">
        <v>46</v>
      </c>
      <c r="G99" s="4">
        <v>44758</v>
      </c>
      <c r="H99" s="6">
        <v>70610</v>
      </c>
      <c r="I99" t="s">
        <v>16</v>
      </c>
    </row>
    <row r="100" spans="3:9" x14ac:dyDescent="0.25">
      <c r="C100" t="s">
        <v>75</v>
      </c>
      <c r="D100" t="s">
        <v>8</v>
      </c>
      <c r="E100" t="s">
        <v>19</v>
      </c>
      <c r="F100">
        <v>28</v>
      </c>
      <c r="G100" s="4">
        <v>44357</v>
      </c>
      <c r="H100" s="6">
        <v>53240</v>
      </c>
      <c r="I100" t="s">
        <v>16</v>
      </c>
    </row>
    <row r="101" spans="3:9" x14ac:dyDescent="0.25">
      <c r="C101" t="s">
        <v>49</v>
      </c>
      <c r="E101" t="s">
        <v>21</v>
      </c>
      <c r="F101">
        <v>37</v>
      </c>
      <c r="G101" s="4">
        <v>44146</v>
      </c>
      <c r="H101" s="6">
        <v>115440</v>
      </c>
      <c r="I101" t="s">
        <v>24</v>
      </c>
    </row>
    <row r="102" spans="3:9" x14ac:dyDescent="0.25">
      <c r="C102" t="s">
        <v>65</v>
      </c>
      <c r="D102" t="s">
        <v>15</v>
      </c>
      <c r="E102" t="s">
        <v>19</v>
      </c>
      <c r="F102">
        <v>32</v>
      </c>
      <c r="G102" s="4">
        <v>44465</v>
      </c>
      <c r="H102" s="6">
        <v>53540</v>
      </c>
      <c r="I102" t="s">
        <v>16</v>
      </c>
    </row>
    <row r="103" spans="3:9" x14ac:dyDescent="0.25">
      <c r="C103" t="s">
        <v>81</v>
      </c>
      <c r="D103" t="s">
        <v>8</v>
      </c>
      <c r="E103" t="s">
        <v>9</v>
      </c>
      <c r="F103">
        <v>30</v>
      </c>
      <c r="G103" s="4">
        <v>44861</v>
      </c>
      <c r="H103" s="6">
        <v>112570</v>
      </c>
      <c r="I103" t="s">
        <v>16</v>
      </c>
    </row>
    <row r="104" spans="3:9" x14ac:dyDescent="0.25">
      <c r="C104" t="s">
        <v>51</v>
      </c>
      <c r="D104" t="s">
        <v>15</v>
      </c>
      <c r="E104" t="s">
        <v>9</v>
      </c>
      <c r="F104">
        <v>33</v>
      </c>
      <c r="G104" s="4">
        <v>44701</v>
      </c>
      <c r="H104" s="6">
        <v>48530</v>
      </c>
      <c r="I104" t="s">
        <v>13</v>
      </c>
    </row>
    <row r="105" spans="3:9" x14ac:dyDescent="0.25">
      <c r="C105" t="s">
        <v>61</v>
      </c>
      <c r="D105" t="s">
        <v>8</v>
      </c>
      <c r="E105" t="s">
        <v>12</v>
      </c>
      <c r="F105">
        <v>24</v>
      </c>
      <c r="G105" s="4">
        <v>44148</v>
      </c>
      <c r="H105" s="6">
        <v>62780</v>
      </c>
      <c r="I105" t="s">
        <v>16</v>
      </c>
    </row>
  </sheetData>
  <conditionalFormatting sqref="C5:C105">
    <cfRule type="duplicateValues" dxfId="0" priority="1"/>
  </conditionalFormatting>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72EC4-DDE2-4CB7-AC70-5AB590F93835}">
  <dimension ref="B2:H114"/>
  <sheetViews>
    <sheetView workbookViewId="0">
      <selection activeCell="J8" sqref="J8"/>
    </sheetView>
  </sheetViews>
  <sheetFormatPr defaultRowHeight="15" x14ac:dyDescent="0.25"/>
  <cols>
    <col min="2" max="2" width="30" bestFit="1" customWidth="1"/>
    <col min="3" max="3" width="9.85546875" customWidth="1"/>
    <col min="4" max="5" width="9.42578125" customWidth="1"/>
    <col min="6" max="6" width="13.5703125" customWidth="1"/>
    <col min="7" max="7" width="13.85546875" customWidth="1"/>
    <col min="8" max="8" width="12.28515625" bestFit="1" customWidth="1"/>
  </cols>
  <sheetData>
    <row r="2" spans="2:8" x14ac:dyDescent="0.25">
      <c r="B2" t="s">
        <v>0</v>
      </c>
      <c r="C2" t="s">
        <v>1</v>
      </c>
      <c r="D2" t="s">
        <v>3</v>
      </c>
      <c r="E2" t="s">
        <v>6</v>
      </c>
      <c r="F2" t="s">
        <v>4</v>
      </c>
      <c r="G2" t="s">
        <v>2</v>
      </c>
      <c r="H2" s="6" t="s">
        <v>5</v>
      </c>
    </row>
    <row r="3" spans="2:8" x14ac:dyDescent="0.25">
      <c r="B3" t="s">
        <v>156</v>
      </c>
      <c r="C3" t="s">
        <v>15</v>
      </c>
      <c r="D3">
        <v>20</v>
      </c>
      <c r="E3" t="s">
        <v>16</v>
      </c>
      <c r="F3" s="4">
        <v>44122</v>
      </c>
      <c r="G3" t="s">
        <v>12</v>
      </c>
      <c r="H3" s="6">
        <v>112650</v>
      </c>
    </row>
    <row r="4" spans="2:8" x14ac:dyDescent="0.25">
      <c r="B4" t="s">
        <v>176</v>
      </c>
      <c r="C4" t="s">
        <v>8</v>
      </c>
      <c r="D4">
        <v>32</v>
      </c>
      <c r="E4" t="s">
        <v>13</v>
      </c>
      <c r="F4" s="4">
        <v>44293</v>
      </c>
      <c r="G4" t="s">
        <v>12</v>
      </c>
      <c r="H4" s="6">
        <v>43840</v>
      </c>
    </row>
    <row r="5" spans="2:8" x14ac:dyDescent="0.25">
      <c r="B5" t="s">
        <v>143</v>
      </c>
      <c r="C5" t="s">
        <v>15</v>
      </c>
      <c r="D5">
        <v>31</v>
      </c>
      <c r="E5" t="s">
        <v>16</v>
      </c>
      <c r="F5" s="4">
        <v>44663</v>
      </c>
      <c r="G5" t="s">
        <v>9</v>
      </c>
      <c r="H5" s="6">
        <v>103550</v>
      </c>
    </row>
    <row r="6" spans="2:8" x14ac:dyDescent="0.25">
      <c r="B6" t="s">
        <v>201</v>
      </c>
      <c r="C6" t="s">
        <v>8</v>
      </c>
      <c r="D6">
        <v>32</v>
      </c>
      <c r="E6" t="s">
        <v>16</v>
      </c>
      <c r="F6" s="4">
        <v>44339</v>
      </c>
      <c r="G6" t="s">
        <v>56</v>
      </c>
      <c r="H6" s="6">
        <v>45510</v>
      </c>
    </row>
    <row r="7" spans="2:8" x14ac:dyDescent="0.25">
      <c r="B7" t="s">
        <v>142</v>
      </c>
      <c r="D7">
        <v>37</v>
      </c>
      <c r="E7" t="s">
        <v>24</v>
      </c>
      <c r="F7" s="4">
        <v>44085</v>
      </c>
      <c r="G7" t="s">
        <v>21</v>
      </c>
      <c r="H7" s="6">
        <v>115440</v>
      </c>
    </row>
    <row r="8" spans="2:8" x14ac:dyDescent="0.25">
      <c r="B8" t="s">
        <v>202</v>
      </c>
      <c r="C8" t="s">
        <v>8</v>
      </c>
      <c r="D8">
        <v>38</v>
      </c>
      <c r="E8" t="s">
        <v>13</v>
      </c>
      <c r="F8" s="4">
        <v>44268</v>
      </c>
      <c r="G8" t="s">
        <v>19</v>
      </c>
      <c r="H8" s="6">
        <v>56870</v>
      </c>
    </row>
    <row r="9" spans="2:8" x14ac:dyDescent="0.25">
      <c r="B9" t="s">
        <v>169</v>
      </c>
      <c r="C9" t="s">
        <v>8</v>
      </c>
      <c r="D9">
        <v>25</v>
      </c>
      <c r="E9" t="s">
        <v>16</v>
      </c>
      <c r="F9" s="4">
        <v>44144</v>
      </c>
      <c r="G9" t="s">
        <v>19</v>
      </c>
      <c r="H9" s="6">
        <v>92700</v>
      </c>
    </row>
    <row r="10" spans="2:8" x14ac:dyDescent="0.25">
      <c r="B10" t="s">
        <v>145</v>
      </c>
      <c r="D10">
        <v>32</v>
      </c>
      <c r="E10" t="s">
        <v>16</v>
      </c>
      <c r="F10" s="4">
        <v>44713</v>
      </c>
      <c r="G10" t="s">
        <v>12</v>
      </c>
      <c r="H10" s="6">
        <v>91310</v>
      </c>
    </row>
    <row r="11" spans="2:8" x14ac:dyDescent="0.25">
      <c r="B11" t="s">
        <v>115</v>
      </c>
      <c r="C11" t="s">
        <v>15</v>
      </c>
      <c r="D11">
        <v>33</v>
      </c>
      <c r="E11" t="s">
        <v>16</v>
      </c>
      <c r="F11" s="4">
        <v>44324</v>
      </c>
      <c r="G11" t="s">
        <v>19</v>
      </c>
      <c r="H11" s="6">
        <v>74550</v>
      </c>
    </row>
    <row r="12" spans="2:8" x14ac:dyDescent="0.25">
      <c r="B12" t="s">
        <v>128</v>
      </c>
      <c r="C12" t="s">
        <v>15</v>
      </c>
      <c r="D12">
        <v>25</v>
      </c>
      <c r="E12" t="s">
        <v>13</v>
      </c>
      <c r="F12" s="4">
        <v>44665</v>
      </c>
      <c r="G12" t="s">
        <v>9</v>
      </c>
      <c r="H12" s="6">
        <v>109190</v>
      </c>
    </row>
    <row r="13" spans="2:8" x14ac:dyDescent="0.25">
      <c r="B13" t="s">
        <v>194</v>
      </c>
      <c r="C13" t="s">
        <v>8</v>
      </c>
      <c r="D13">
        <v>40</v>
      </c>
      <c r="E13" t="s">
        <v>16</v>
      </c>
      <c r="F13" s="4">
        <v>44320</v>
      </c>
      <c r="G13" t="s">
        <v>12</v>
      </c>
      <c r="H13" s="6">
        <v>104410</v>
      </c>
    </row>
    <row r="14" spans="2:8" x14ac:dyDescent="0.25">
      <c r="B14" t="s">
        <v>177</v>
      </c>
      <c r="C14" t="s">
        <v>15</v>
      </c>
      <c r="D14">
        <v>30</v>
      </c>
      <c r="E14" t="s">
        <v>16</v>
      </c>
      <c r="F14" s="4">
        <v>44544</v>
      </c>
      <c r="G14" t="s">
        <v>21</v>
      </c>
      <c r="H14" s="6">
        <v>96800</v>
      </c>
    </row>
    <row r="15" spans="2:8" x14ac:dyDescent="0.25">
      <c r="B15" t="s">
        <v>123</v>
      </c>
      <c r="C15" t="s">
        <v>15</v>
      </c>
      <c r="D15">
        <v>28</v>
      </c>
      <c r="E15" t="s">
        <v>13</v>
      </c>
      <c r="F15" s="4">
        <v>43980</v>
      </c>
      <c r="G15" t="s">
        <v>21</v>
      </c>
      <c r="H15" s="6">
        <v>48170</v>
      </c>
    </row>
    <row r="16" spans="2:8" x14ac:dyDescent="0.25">
      <c r="B16" t="s">
        <v>140</v>
      </c>
      <c r="C16" t="s">
        <v>15</v>
      </c>
      <c r="D16">
        <v>21</v>
      </c>
      <c r="E16" t="s">
        <v>16</v>
      </c>
      <c r="F16" s="4">
        <v>44042</v>
      </c>
      <c r="G16" t="s">
        <v>9</v>
      </c>
      <c r="H16" s="6">
        <v>37920</v>
      </c>
    </row>
    <row r="17" spans="2:8" x14ac:dyDescent="0.25">
      <c r="B17" t="s">
        <v>178</v>
      </c>
      <c r="C17" t="s">
        <v>15</v>
      </c>
      <c r="D17">
        <v>34</v>
      </c>
      <c r="E17" t="s">
        <v>16</v>
      </c>
      <c r="F17" s="4">
        <v>44642</v>
      </c>
      <c r="G17" t="s">
        <v>9</v>
      </c>
      <c r="H17" s="6">
        <v>112650</v>
      </c>
    </row>
    <row r="18" spans="2:8" x14ac:dyDescent="0.25">
      <c r="B18" t="s">
        <v>165</v>
      </c>
      <c r="C18" t="s">
        <v>8</v>
      </c>
      <c r="D18">
        <v>34</v>
      </c>
      <c r="E18" t="s">
        <v>24</v>
      </c>
      <c r="F18" s="4">
        <v>44660</v>
      </c>
      <c r="G18" t="s">
        <v>19</v>
      </c>
      <c r="H18" s="6">
        <v>49630</v>
      </c>
    </row>
    <row r="19" spans="2:8" x14ac:dyDescent="0.25">
      <c r="B19" t="s">
        <v>199</v>
      </c>
      <c r="C19" t="s">
        <v>15</v>
      </c>
      <c r="D19">
        <v>36</v>
      </c>
      <c r="E19" t="s">
        <v>16</v>
      </c>
      <c r="F19" s="4">
        <v>43958</v>
      </c>
      <c r="G19" t="s">
        <v>12</v>
      </c>
      <c r="H19" s="6">
        <v>118840</v>
      </c>
    </row>
    <row r="20" spans="2:8" x14ac:dyDescent="0.25">
      <c r="B20" t="s">
        <v>159</v>
      </c>
      <c r="C20" t="s">
        <v>15</v>
      </c>
      <c r="D20">
        <v>30</v>
      </c>
      <c r="E20" t="s">
        <v>16</v>
      </c>
      <c r="F20" s="4">
        <v>44789</v>
      </c>
      <c r="G20" t="s">
        <v>12</v>
      </c>
      <c r="H20" s="6">
        <v>69710</v>
      </c>
    </row>
    <row r="21" spans="2:8" x14ac:dyDescent="0.25">
      <c r="B21" t="s">
        <v>197</v>
      </c>
      <c r="C21" t="s">
        <v>15</v>
      </c>
      <c r="D21">
        <v>20</v>
      </c>
      <c r="E21" t="s">
        <v>16</v>
      </c>
      <c r="F21" s="4">
        <v>44683</v>
      </c>
      <c r="G21" t="s">
        <v>9</v>
      </c>
      <c r="H21" s="6">
        <v>79570</v>
      </c>
    </row>
    <row r="22" spans="2:8" x14ac:dyDescent="0.25">
      <c r="B22" t="s">
        <v>154</v>
      </c>
      <c r="C22" t="s">
        <v>8</v>
      </c>
      <c r="D22">
        <v>22</v>
      </c>
      <c r="E22" t="s">
        <v>13</v>
      </c>
      <c r="F22" s="4">
        <v>44388</v>
      </c>
      <c r="G22" t="s">
        <v>9</v>
      </c>
      <c r="H22" s="6">
        <v>76900</v>
      </c>
    </row>
    <row r="23" spans="2:8" x14ac:dyDescent="0.25">
      <c r="B23" t="s">
        <v>182</v>
      </c>
      <c r="C23" t="s">
        <v>15</v>
      </c>
      <c r="D23">
        <v>27</v>
      </c>
      <c r="E23" t="s">
        <v>16</v>
      </c>
      <c r="F23" s="4">
        <v>44073</v>
      </c>
      <c r="G23" t="s">
        <v>19</v>
      </c>
      <c r="H23" s="6">
        <v>54970</v>
      </c>
    </row>
    <row r="24" spans="2:8" x14ac:dyDescent="0.25">
      <c r="B24" t="s">
        <v>118</v>
      </c>
      <c r="C24" t="s">
        <v>15</v>
      </c>
      <c r="D24">
        <v>37</v>
      </c>
      <c r="E24" t="s">
        <v>24</v>
      </c>
      <c r="F24" s="4">
        <v>44277</v>
      </c>
      <c r="G24" t="s">
        <v>12</v>
      </c>
      <c r="H24" s="6">
        <v>88050</v>
      </c>
    </row>
    <row r="25" spans="2:8" x14ac:dyDescent="0.25">
      <c r="B25" t="s">
        <v>192</v>
      </c>
      <c r="C25" t="s">
        <v>15</v>
      </c>
      <c r="D25">
        <v>43</v>
      </c>
      <c r="E25" t="s">
        <v>16</v>
      </c>
      <c r="F25" s="4">
        <v>44558</v>
      </c>
      <c r="G25" t="s">
        <v>19</v>
      </c>
      <c r="H25" s="6">
        <v>36040</v>
      </c>
    </row>
    <row r="26" spans="2:8" x14ac:dyDescent="0.25">
      <c r="B26" t="s">
        <v>111</v>
      </c>
      <c r="C26" t="s">
        <v>8</v>
      </c>
      <c r="D26">
        <v>42</v>
      </c>
      <c r="E26" t="s">
        <v>10</v>
      </c>
      <c r="F26" s="4">
        <v>44718</v>
      </c>
      <c r="G26" t="s">
        <v>9</v>
      </c>
      <c r="H26" s="6">
        <v>75000</v>
      </c>
    </row>
    <row r="27" spans="2:8" x14ac:dyDescent="0.25">
      <c r="B27" t="s">
        <v>149</v>
      </c>
      <c r="C27" t="s">
        <v>15</v>
      </c>
      <c r="D27">
        <v>35</v>
      </c>
      <c r="E27" t="s">
        <v>16</v>
      </c>
      <c r="F27" s="4">
        <v>44666</v>
      </c>
      <c r="G27" t="s">
        <v>9</v>
      </c>
      <c r="H27" s="6">
        <v>40400</v>
      </c>
    </row>
    <row r="28" spans="2:8" x14ac:dyDescent="0.25">
      <c r="B28" t="s">
        <v>196</v>
      </c>
      <c r="C28" t="s">
        <v>15</v>
      </c>
      <c r="D28">
        <v>24</v>
      </c>
      <c r="E28" t="s">
        <v>16</v>
      </c>
      <c r="F28" s="4">
        <v>44625</v>
      </c>
      <c r="G28" t="s">
        <v>12</v>
      </c>
      <c r="H28" s="6">
        <v>100420</v>
      </c>
    </row>
    <row r="29" spans="2:8" x14ac:dyDescent="0.25">
      <c r="B29" t="s">
        <v>120</v>
      </c>
      <c r="C29" t="s">
        <v>8</v>
      </c>
      <c r="D29">
        <v>31</v>
      </c>
      <c r="E29" t="s">
        <v>16</v>
      </c>
      <c r="F29" s="4">
        <v>44604</v>
      </c>
      <c r="G29" t="s">
        <v>12</v>
      </c>
      <c r="H29" s="6">
        <v>58100</v>
      </c>
    </row>
    <row r="30" spans="2:8" x14ac:dyDescent="0.25">
      <c r="B30" t="s">
        <v>114</v>
      </c>
      <c r="C30" t="s">
        <v>8</v>
      </c>
      <c r="D30">
        <v>44</v>
      </c>
      <c r="E30" t="s">
        <v>16</v>
      </c>
      <c r="F30" s="4">
        <v>44985</v>
      </c>
      <c r="G30" t="s">
        <v>12</v>
      </c>
      <c r="H30" s="6">
        <v>114870</v>
      </c>
    </row>
    <row r="31" spans="2:8" x14ac:dyDescent="0.25">
      <c r="B31" t="s">
        <v>158</v>
      </c>
      <c r="C31" t="s">
        <v>8</v>
      </c>
      <c r="D31">
        <v>32</v>
      </c>
      <c r="E31" t="s">
        <v>16</v>
      </c>
      <c r="F31" s="4">
        <v>44549</v>
      </c>
      <c r="G31" t="s">
        <v>9</v>
      </c>
      <c r="H31" s="6">
        <v>41570</v>
      </c>
    </row>
    <row r="32" spans="2:8" x14ac:dyDescent="0.25">
      <c r="B32" t="s">
        <v>173</v>
      </c>
      <c r="C32" t="s">
        <v>8</v>
      </c>
      <c r="D32">
        <v>30</v>
      </c>
      <c r="E32" t="s">
        <v>16</v>
      </c>
      <c r="F32" s="4">
        <v>44800</v>
      </c>
      <c r="G32" t="s">
        <v>9</v>
      </c>
      <c r="H32" s="6">
        <v>112570</v>
      </c>
    </row>
    <row r="33" spans="2:8" x14ac:dyDescent="0.25">
      <c r="B33" t="s">
        <v>151</v>
      </c>
      <c r="C33" t="s">
        <v>15</v>
      </c>
      <c r="D33">
        <v>26</v>
      </c>
      <c r="E33" t="s">
        <v>16</v>
      </c>
      <c r="F33" s="4">
        <v>44164</v>
      </c>
      <c r="G33" t="s">
        <v>9</v>
      </c>
      <c r="H33" s="6">
        <v>47360</v>
      </c>
    </row>
    <row r="34" spans="2:8" x14ac:dyDescent="0.25">
      <c r="B34" t="s">
        <v>126</v>
      </c>
      <c r="C34" t="s">
        <v>8</v>
      </c>
      <c r="D34">
        <v>21</v>
      </c>
      <c r="E34" t="s">
        <v>16</v>
      </c>
      <c r="F34" s="4">
        <v>44256</v>
      </c>
      <c r="G34" t="s">
        <v>21</v>
      </c>
      <c r="H34" s="6">
        <v>65920</v>
      </c>
    </row>
    <row r="35" spans="2:8" x14ac:dyDescent="0.25">
      <c r="B35" t="s">
        <v>200</v>
      </c>
      <c r="C35" t="s">
        <v>8</v>
      </c>
      <c r="D35">
        <v>28</v>
      </c>
      <c r="E35" t="s">
        <v>16</v>
      </c>
      <c r="F35" s="4">
        <v>44571</v>
      </c>
      <c r="G35" t="s">
        <v>9</v>
      </c>
      <c r="H35" s="6">
        <v>99970</v>
      </c>
    </row>
    <row r="36" spans="2:8" x14ac:dyDescent="0.25">
      <c r="B36" t="s">
        <v>133</v>
      </c>
      <c r="C36" t="s">
        <v>8</v>
      </c>
      <c r="D36">
        <v>25</v>
      </c>
      <c r="E36" t="s">
        <v>13</v>
      </c>
      <c r="F36" s="4">
        <v>44633</v>
      </c>
      <c r="G36" t="s">
        <v>12</v>
      </c>
      <c r="H36" s="6">
        <v>80700</v>
      </c>
    </row>
    <row r="37" spans="2:8" x14ac:dyDescent="0.25">
      <c r="B37" t="s">
        <v>155</v>
      </c>
      <c r="C37" t="s">
        <v>15</v>
      </c>
      <c r="D37">
        <v>24</v>
      </c>
      <c r="E37" t="s">
        <v>24</v>
      </c>
      <c r="F37" s="4">
        <v>44375</v>
      </c>
      <c r="G37" t="s">
        <v>21</v>
      </c>
      <c r="H37" s="6">
        <v>52610</v>
      </c>
    </row>
    <row r="38" spans="2:8" x14ac:dyDescent="0.25">
      <c r="B38" t="s">
        <v>180</v>
      </c>
      <c r="C38" t="s">
        <v>15</v>
      </c>
      <c r="D38">
        <v>29</v>
      </c>
      <c r="E38" t="s">
        <v>24</v>
      </c>
      <c r="F38" s="4">
        <v>44119</v>
      </c>
      <c r="G38" t="s">
        <v>12</v>
      </c>
      <c r="H38" s="6">
        <v>112110</v>
      </c>
    </row>
    <row r="39" spans="2:8" x14ac:dyDescent="0.25">
      <c r="B39" t="s">
        <v>152</v>
      </c>
      <c r="C39" t="s">
        <v>8</v>
      </c>
      <c r="D39">
        <v>27</v>
      </c>
      <c r="E39" t="s">
        <v>16</v>
      </c>
      <c r="F39" s="4">
        <v>44061</v>
      </c>
      <c r="G39" t="s">
        <v>56</v>
      </c>
      <c r="H39" s="6">
        <v>119110</v>
      </c>
    </row>
    <row r="40" spans="2:8" x14ac:dyDescent="0.25">
      <c r="B40" t="s">
        <v>150</v>
      </c>
      <c r="C40" t="s">
        <v>15</v>
      </c>
      <c r="D40">
        <v>22</v>
      </c>
      <c r="E40" t="s">
        <v>13</v>
      </c>
      <c r="F40" s="4">
        <v>44384</v>
      </c>
      <c r="G40" t="s">
        <v>19</v>
      </c>
      <c r="H40" s="6">
        <v>112780</v>
      </c>
    </row>
    <row r="41" spans="2:8" x14ac:dyDescent="0.25">
      <c r="B41" t="s">
        <v>175</v>
      </c>
      <c r="C41" t="s">
        <v>8</v>
      </c>
      <c r="D41">
        <v>36</v>
      </c>
      <c r="E41" t="s">
        <v>16</v>
      </c>
      <c r="F41" s="4">
        <v>44023</v>
      </c>
      <c r="G41" t="s">
        <v>9</v>
      </c>
      <c r="H41" s="6">
        <v>114890</v>
      </c>
    </row>
    <row r="42" spans="2:8" x14ac:dyDescent="0.25">
      <c r="B42" t="s">
        <v>146</v>
      </c>
      <c r="C42" t="s">
        <v>15</v>
      </c>
      <c r="D42">
        <v>27</v>
      </c>
      <c r="E42" t="s">
        <v>16</v>
      </c>
      <c r="F42" s="4">
        <v>44506</v>
      </c>
      <c r="G42" t="s">
        <v>21</v>
      </c>
      <c r="H42" s="6">
        <v>48980</v>
      </c>
    </row>
    <row r="43" spans="2:8" x14ac:dyDescent="0.25">
      <c r="B43" t="s">
        <v>170</v>
      </c>
      <c r="C43" t="s">
        <v>15</v>
      </c>
      <c r="D43">
        <v>21</v>
      </c>
      <c r="E43" t="s">
        <v>16</v>
      </c>
      <c r="F43" s="4">
        <v>44180</v>
      </c>
      <c r="G43" t="s">
        <v>56</v>
      </c>
      <c r="H43" s="6">
        <v>75880</v>
      </c>
    </row>
    <row r="44" spans="2:8" x14ac:dyDescent="0.25">
      <c r="B44" t="s">
        <v>167</v>
      </c>
      <c r="C44" t="s">
        <v>8</v>
      </c>
      <c r="D44">
        <v>28</v>
      </c>
      <c r="E44" t="s">
        <v>16</v>
      </c>
      <c r="F44" s="4">
        <v>44296</v>
      </c>
      <c r="G44" t="s">
        <v>19</v>
      </c>
      <c r="H44" s="6">
        <v>53240</v>
      </c>
    </row>
    <row r="45" spans="2:8" x14ac:dyDescent="0.25">
      <c r="B45" t="s">
        <v>122</v>
      </c>
      <c r="C45" t="s">
        <v>8</v>
      </c>
      <c r="D45">
        <v>34</v>
      </c>
      <c r="E45" t="s">
        <v>16</v>
      </c>
      <c r="F45" s="4">
        <v>44397</v>
      </c>
      <c r="G45" t="s">
        <v>21</v>
      </c>
      <c r="H45" s="6">
        <v>85000</v>
      </c>
    </row>
    <row r="46" spans="2:8" x14ac:dyDescent="0.25">
      <c r="B46" t="s">
        <v>179</v>
      </c>
      <c r="C46" t="s">
        <v>8</v>
      </c>
      <c r="D46">
        <v>21</v>
      </c>
      <c r="E46" t="s">
        <v>16</v>
      </c>
      <c r="F46" s="4">
        <v>44619</v>
      </c>
      <c r="G46" t="s">
        <v>12</v>
      </c>
      <c r="H46" s="6">
        <v>33920</v>
      </c>
    </row>
    <row r="47" spans="2:8" x14ac:dyDescent="0.25">
      <c r="B47" t="s">
        <v>188</v>
      </c>
      <c r="C47" t="s">
        <v>8</v>
      </c>
      <c r="D47">
        <v>33</v>
      </c>
      <c r="E47" t="s">
        <v>16</v>
      </c>
      <c r="F47" s="4">
        <v>44253</v>
      </c>
      <c r="G47" t="s">
        <v>12</v>
      </c>
      <c r="H47" s="6">
        <v>75280</v>
      </c>
    </row>
    <row r="48" spans="2:8" x14ac:dyDescent="0.25">
      <c r="B48" t="s">
        <v>130</v>
      </c>
      <c r="C48" t="s">
        <v>8</v>
      </c>
      <c r="D48">
        <v>34</v>
      </c>
      <c r="E48" t="s">
        <v>16</v>
      </c>
      <c r="F48" s="4">
        <v>44594</v>
      </c>
      <c r="G48" t="s">
        <v>21</v>
      </c>
      <c r="H48" s="6">
        <v>58940</v>
      </c>
    </row>
    <row r="49" spans="2:8" x14ac:dyDescent="0.25">
      <c r="B49" t="s">
        <v>136</v>
      </c>
      <c r="C49" t="s">
        <v>8</v>
      </c>
      <c r="D49">
        <v>28</v>
      </c>
      <c r="E49" t="s">
        <v>16</v>
      </c>
      <c r="F49" s="4">
        <v>44425</v>
      </c>
      <c r="G49" t="s">
        <v>9</v>
      </c>
      <c r="H49" s="6">
        <v>104770</v>
      </c>
    </row>
    <row r="50" spans="2:8" x14ac:dyDescent="0.25">
      <c r="B50" t="s">
        <v>125</v>
      </c>
      <c r="C50" t="s">
        <v>15</v>
      </c>
      <c r="D50">
        <v>21</v>
      </c>
      <c r="E50" t="s">
        <v>16</v>
      </c>
      <c r="F50" s="4">
        <v>44701</v>
      </c>
      <c r="G50" t="s">
        <v>9</v>
      </c>
      <c r="H50" s="6">
        <v>57090</v>
      </c>
    </row>
    <row r="51" spans="2:8" x14ac:dyDescent="0.25">
      <c r="B51" t="s">
        <v>160</v>
      </c>
      <c r="C51" t="s">
        <v>15</v>
      </c>
      <c r="D51">
        <v>27</v>
      </c>
      <c r="E51" t="s">
        <v>13</v>
      </c>
      <c r="F51" s="4">
        <v>44174</v>
      </c>
      <c r="G51" t="s">
        <v>21</v>
      </c>
      <c r="H51" s="6">
        <v>91650</v>
      </c>
    </row>
    <row r="52" spans="2:8" x14ac:dyDescent="0.25">
      <c r="B52" t="s">
        <v>183</v>
      </c>
      <c r="C52" t="s">
        <v>15</v>
      </c>
      <c r="D52">
        <v>42</v>
      </c>
      <c r="E52" t="s">
        <v>24</v>
      </c>
      <c r="F52" s="4">
        <v>44670</v>
      </c>
      <c r="G52" t="s">
        <v>21</v>
      </c>
      <c r="H52" s="6">
        <v>70270</v>
      </c>
    </row>
    <row r="53" spans="2:8" x14ac:dyDescent="0.25">
      <c r="B53" t="s">
        <v>129</v>
      </c>
      <c r="C53" t="s">
        <v>8</v>
      </c>
      <c r="D53">
        <v>28</v>
      </c>
      <c r="E53" t="s">
        <v>16</v>
      </c>
      <c r="F53" s="4">
        <v>44124</v>
      </c>
      <c r="G53" t="s">
        <v>21</v>
      </c>
      <c r="H53" s="6">
        <v>75970</v>
      </c>
    </row>
    <row r="54" spans="2:8" x14ac:dyDescent="0.25">
      <c r="B54" t="s">
        <v>112</v>
      </c>
      <c r="D54">
        <v>27</v>
      </c>
      <c r="E54" t="s">
        <v>13</v>
      </c>
      <c r="F54" s="4">
        <v>44212</v>
      </c>
      <c r="G54" t="s">
        <v>12</v>
      </c>
      <c r="H54" s="6">
        <v>90700</v>
      </c>
    </row>
    <row r="55" spans="2:8" x14ac:dyDescent="0.25">
      <c r="B55" t="s">
        <v>131</v>
      </c>
      <c r="C55" t="s">
        <v>15</v>
      </c>
      <c r="D55">
        <v>30</v>
      </c>
      <c r="E55" t="s">
        <v>16</v>
      </c>
      <c r="F55" s="4">
        <v>44607</v>
      </c>
      <c r="G55" t="s">
        <v>9</v>
      </c>
      <c r="H55" s="6">
        <v>60570</v>
      </c>
    </row>
    <row r="56" spans="2:8" x14ac:dyDescent="0.25">
      <c r="B56" t="s">
        <v>134</v>
      </c>
      <c r="C56" t="s">
        <v>15</v>
      </c>
      <c r="D56">
        <v>33</v>
      </c>
      <c r="E56" t="s">
        <v>16</v>
      </c>
      <c r="F56" s="4">
        <v>44103</v>
      </c>
      <c r="G56" t="s">
        <v>9</v>
      </c>
      <c r="H56" s="6">
        <v>115920</v>
      </c>
    </row>
    <row r="57" spans="2:8" x14ac:dyDescent="0.25">
      <c r="B57" t="s">
        <v>186</v>
      </c>
      <c r="C57" t="s">
        <v>8</v>
      </c>
      <c r="D57">
        <v>33</v>
      </c>
      <c r="E57" t="s">
        <v>16</v>
      </c>
      <c r="F57" s="4">
        <v>44006</v>
      </c>
      <c r="G57" t="s">
        <v>21</v>
      </c>
      <c r="H57" s="6">
        <v>65360</v>
      </c>
    </row>
    <row r="58" spans="2:8" x14ac:dyDescent="0.25">
      <c r="B58" t="s">
        <v>116</v>
      </c>
      <c r="D58">
        <v>30</v>
      </c>
      <c r="E58" t="s">
        <v>16</v>
      </c>
      <c r="F58" s="4">
        <v>44535</v>
      </c>
      <c r="G58" t="s">
        <v>21</v>
      </c>
      <c r="H58" s="6">
        <v>64000</v>
      </c>
    </row>
    <row r="59" spans="2:8" x14ac:dyDescent="0.25">
      <c r="B59" t="s">
        <v>195</v>
      </c>
      <c r="C59" t="s">
        <v>8</v>
      </c>
      <c r="D59">
        <v>34</v>
      </c>
      <c r="E59" t="s">
        <v>16</v>
      </c>
      <c r="F59" s="4">
        <v>44383</v>
      </c>
      <c r="G59" t="s">
        <v>21</v>
      </c>
      <c r="H59" s="6">
        <v>92450</v>
      </c>
    </row>
    <row r="60" spans="2:8" x14ac:dyDescent="0.25">
      <c r="B60" t="s">
        <v>113</v>
      </c>
      <c r="C60" t="s">
        <v>15</v>
      </c>
      <c r="D60">
        <v>31</v>
      </c>
      <c r="E60" t="s">
        <v>16</v>
      </c>
      <c r="F60" s="4">
        <v>44450</v>
      </c>
      <c r="G60" t="s">
        <v>12</v>
      </c>
      <c r="H60" s="6">
        <v>48950</v>
      </c>
    </row>
    <row r="61" spans="2:8" x14ac:dyDescent="0.25">
      <c r="B61" t="s">
        <v>185</v>
      </c>
      <c r="C61" t="s">
        <v>8</v>
      </c>
      <c r="D61">
        <v>27</v>
      </c>
      <c r="E61" t="s">
        <v>16</v>
      </c>
      <c r="F61" s="4">
        <v>44625</v>
      </c>
      <c r="G61" t="s">
        <v>12</v>
      </c>
      <c r="H61" s="6">
        <v>83750</v>
      </c>
    </row>
    <row r="62" spans="2:8" x14ac:dyDescent="0.25">
      <c r="B62" t="s">
        <v>166</v>
      </c>
      <c r="C62" t="s">
        <v>8</v>
      </c>
      <c r="D62">
        <v>40</v>
      </c>
      <c r="E62" t="s">
        <v>16</v>
      </c>
      <c r="F62" s="4">
        <v>44276</v>
      </c>
      <c r="G62" t="s">
        <v>12</v>
      </c>
      <c r="H62" s="6">
        <v>87620</v>
      </c>
    </row>
    <row r="63" spans="2:8" x14ac:dyDescent="0.25">
      <c r="B63" t="s">
        <v>184</v>
      </c>
      <c r="C63" t="s">
        <v>8</v>
      </c>
      <c r="D63">
        <v>20</v>
      </c>
      <c r="E63" t="s">
        <v>24</v>
      </c>
      <c r="F63" s="4">
        <v>44476</v>
      </c>
      <c r="G63" t="s">
        <v>19</v>
      </c>
      <c r="H63" s="6">
        <v>68900</v>
      </c>
    </row>
    <row r="64" spans="2:8" x14ac:dyDescent="0.25">
      <c r="B64" t="s">
        <v>157</v>
      </c>
      <c r="C64" t="s">
        <v>15</v>
      </c>
      <c r="D64">
        <v>32</v>
      </c>
      <c r="E64" t="s">
        <v>16</v>
      </c>
      <c r="F64" s="4">
        <v>44403</v>
      </c>
      <c r="G64" t="s">
        <v>19</v>
      </c>
      <c r="H64" s="6">
        <v>53540</v>
      </c>
    </row>
    <row r="65" spans="2:8" x14ac:dyDescent="0.25">
      <c r="B65" t="s">
        <v>172</v>
      </c>
      <c r="C65" t="s">
        <v>15</v>
      </c>
      <c r="D65">
        <v>28</v>
      </c>
      <c r="E65" t="s">
        <v>42</v>
      </c>
      <c r="F65" s="4">
        <v>44758</v>
      </c>
      <c r="G65" t="s">
        <v>19</v>
      </c>
      <c r="H65" s="6">
        <v>43510</v>
      </c>
    </row>
    <row r="66" spans="2:8" x14ac:dyDescent="0.25">
      <c r="B66" t="s">
        <v>127</v>
      </c>
      <c r="C66" t="s">
        <v>8</v>
      </c>
      <c r="D66">
        <v>38</v>
      </c>
      <c r="E66" t="s">
        <v>10</v>
      </c>
      <c r="F66" s="4">
        <v>44316</v>
      </c>
      <c r="G66" t="s">
        <v>19</v>
      </c>
      <c r="H66" s="6">
        <v>109160</v>
      </c>
    </row>
    <row r="67" spans="2:8" x14ac:dyDescent="0.25">
      <c r="B67" t="s">
        <v>198</v>
      </c>
      <c r="C67" t="s">
        <v>15</v>
      </c>
      <c r="D67">
        <v>40</v>
      </c>
      <c r="E67" t="s">
        <v>16</v>
      </c>
      <c r="F67" s="4">
        <v>44204</v>
      </c>
      <c r="G67" t="s">
        <v>9</v>
      </c>
      <c r="H67" s="6">
        <v>99750</v>
      </c>
    </row>
    <row r="68" spans="2:8" x14ac:dyDescent="0.25">
      <c r="B68" t="s">
        <v>124</v>
      </c>
      <c r="C68" t="s">
        <v>8</v>
      </c>
      <c r="D68">
        <v>31</v>
      </c>
      <c r="E68" t="s">
        <v>16</v>
      </c>
      <c r="F68" s="4">
        <v>44084</v>
      </c>
      <c r="G68" t="s">
        <v>12</v>
      </c>
      <c r="H68" s="6">
        <v>41980</v>
      </c>
    </row>
    <row r="69" spans="2:8" x14ac:dyDescent="0.25">
      <c r="B69" t="s">
        <v>187</v>
      </c>
      <c r="C69" t="s">
        <v>15</v>
      </c>
      <c r="D69">
        <v>36</v>
      </c>
      <c r="E69" t="s">
        <v>16</v>
      </c>
      <c r="F69" s="4">
        <v>44272</v>
      </c>
      <c r="G69" t="s">
        <v>21</v>
      </c>
      <c r="H69" s="6">
        <v>71380</v>
      </c>
    </row>
    <row r="70" spans="2:8" x14ac:dyDescent="0.25">
      <c r="B70" t="s">
        <v>191</v>
      </c>
      <c r="C70" t="s">
        <v>15</v>
      </c>
      <c r="D70">
        <v>27</v>
      </c>
      <c r="E70" t="s">
        <v>42</v>
      </c>
      <c r="F70" s="4">
        <v>44547</v>
      </c>
      <c r="G70" t="s">
        <v>9</v>
      </c>
      <c r="H70" s="6">
        <v>113280</v>
      </c>
    </row>
    <row r="71" spans="2:8" x14ac:dyDescent="0.25">
      <c r="B71" t="s">
        <v>181</v>
      </c>
      <c r="C71" t="s">
        <v>8</v>
      </c>
      <c r="D71">
        <v>33</v>
      </c>
      <c r="E71" t="s">
        <v>16</v>
      </c>
      <c r="F71" s="4">
        <v>44747</v>
      </c>
      <c r="G71" t="s">
        <v>21</v>
      </c>
      <c r="H71" s="6">
        <v>86570</v>
      </c>
    </row>
    <row r="72" spans="2:8" x14ac:dyDescent="0.25">
      <c r="B72" t="s">
        <v>139</v>
      </c>
      <c r="C72" t="s">
        <v>15</v>
      </c>
      <c r="D72">
        <v>26</v>
      </c>
      <c r="E72" t="s">
        <v>16</v>
      </c>
      <c r="F72" s="4">
        <v>44350</v>
      </c>
      <c r="G72" t="s">
        <v>9</v>
      </c>
      <c r="H72" s="6">
        <v>53540</v>
      </c>
    </row>
    <row r="73" spans="2:8" x14ac:dyDescent="0.25">
      <c r="B73" t="s">
        <v>190</v>
      </c>
      <c r="C73" t="s">
        <v>15</v>
      </c>
      <c r="D73">
        <v>37</v>
      </c>
      <c r="E73" t="s">
        <v>16</v>
      </c>
      <c r="F73" s="4">
        <v>44640</v>
      </c>
      <c r="G73" t="s">
        <v>12</v>
      </c>
      <c r="H73" s="6">
        <v>69070</v>
      </c>
    </row>
    <row r="74" spans="2:8" x14ac:dyDescent="0.25">
      <c r="B74" t="s">
        <v>121</v>
      </c>
      <c r="C74" t="s">
        <v>8</v>
      </c>
      <c r="D74">
        <v>30</v>
      </c>
      <c r="E74" t="s">
        <v>24</v>
      </c>
      <c r="F74" s="4">
        <v>44328</v>
      </c>
      <c r="G74" t="s">
        <v>21</v>
      </c>
      <c r="H74" s="6">
        <v>67910</v>
      </c>
    </row>
    <row r="75" spans="2:8" x14ac:dyDescent="0.25">
      <c r="B75" t="s">
        <v>119</v>
      </c>
      <c r="C75" t="s">
        <v>15</v>
      </c>
      <c r="D75">
        <v>30</v>
      </c>
      <c r="E75" t="s">
        <v>16</v>
      </c>
      <c r="F75" s="4">
        <v>44214</v>
      </c>
      <c r="G75" t="s">
        <v>12</v>
      </c>
      <c r="H75" s="6">
        <v>69120</v>
      </c>
    </row>
    <row r="76" spans="2:8" x14ac:dyDescent="0.25">
      <c r="B76" t="s">
        <v>132</v>
      </c>
      <c r="C76" t="s">
        <v>8</v>
      </c>
      <c r="D76">
        <v>34</v>
      </c>
      <c r="E76" t="s">
        <v>16</v>
      </c>
      <c r="F76" s="4">
        <v>44550</v>
      </c>
      <c r="G76" t="s">
        <v>21</v>
      </c>
      <c r="H76" s="6">
        <v>60130</v>
      </c>
    </row>
    <row r="77" spans="2:8" x14ac:dyDescent="0.25">
      <c r="B77" t="s">
        <v>161</v>
      </c>
      <c r="C77" t="s">
        <v>15</v>
      </c>
      <c r="D77">
        <v>23</v>
      </c>
      <c r="E77" t="s">
        <v>16</v>
      </c>
      <c r="F77" s="4">
        <v>44378</v>
      </c>
      <c r="G77" t="s">
        <v>9</v>
      </c>
      <c r="H77" s="6">
        <v>106460</v>
      </c>
    </row>
    <row r="78" spans="2:8" x14ac:dyDescent="0.25">
      <c r="B78" t="s">
        <v>148</v>
      </c>
      <c r="C78" t="s">
        <v>8</v>
      </c>
      <c r="D78">
        <v>37</v>
      </c>
      <c r="E78" t="s">
        <v>16</v>
      </c>
      <c r="F78" s="4">
        <v>44389</v>
      </c>
      <c r="G78" t="s">
        <v>56</v>
      </c>
      <c r="H78" s="6">
        <v>118100</v>
      </c>
    </row>
    <row r="79" spans="2:8" x14ac:dyDescent="0.25">
      <c r="B79" t="s">
        <v>164</v>
      </c>
      <c r="C79" t="s">
        <v>8</v>
      </c>
      <c r="D79">
        <v>36</v>
      </c>
      <c r="E79" t="s">
        <v>16</v>
      </c>
      <c r="F79" s="4">
        <v>44468</v>
      </c>
      <c r="G79" t="s">
        <v>9</v>
      </c>
      <c r="H79" s="6">
        <v>78390</v>
      </c>
    </row>
    <row r="80" spans="2:8" x14ac:dyDescent="0.25">
      <c r="B80" t="s">
        <v>147</v>
      </c>
      <c r="C80" t="s">
        <v>8</v>
      </c>
      <c r="D80">
        <v>30</v>
      </c>
      <c r="E80" t="s">
        <v>16</v>
      </c>
      <c r="F80" s="4">
        <v>44789</v>
      </c>
      <c r="G80" t="s">
        <v>9</v>
      </c>
      <c r="H80" s="6">
        <v>114180</v>
      </c>
    </row>
    <row r="81" spans="2:8" x14ac:dyDescent="0.25">
      <c r="B81" t="s">
        <v>189</v>
      </c>
      <c r="C81" t="s">
        <v>8</v>
      </c>
      <c r="D81">
        <v>28</v>
      </c>
      <c r="E81" t="s">
        <v>16</v>
      </c>
      <c r="F81" s="4">
        <v>44590</v>
      </c>
      <c r="G81" t="s">
        <v>9</v>
      </c>
      <c r="H81" s="6">
        <v>104120</v>
      </c>
    </row>
    <row r="82" spans="2:8" x14ac:dyDescent="0.25">
      <c r="B82" t="s">
        <v>138</v>
      </c>
      <c r="C82" t="s">
        <v>15</v>
      </c>
      <c r="D82">
        <v>30</v>
      </c>
      <c r="E82" t="s">
        <v>16</v>
      </c>
      <c r="F82" s="4">
        <v>44640</v>
      </c>
      <c r="G82" t="s">
        <v>9</v>
      </c>
      <c r="H82" s="6">
        <v>67950</v>
      </c>
    </row>
    <row r="83" spans="2:8" x14ac:dyDescent="0.25">
      <c r="B83" t="s">
        <v>137</v>
      </c>
      <c r="C83" t="s">
        <v>8</v>
      </c>
      <c r="D83">
        <v>29</v>
      </c>
      <c r="E83" t="s">
        <v>16</v>
      </c>
      <c r="F83" s="4">
        <v>43962</v>
      </c>
      <c r="G83" t="s">
        <v>12</v>
      </c>
      <c r="H83" s="6">
        <v>34980</v>
      </c>
    </row>
    <row r="84" spans="2:8" x14ac:dyDescent="0.25">
      <c r="B84" t="s">
        <v>153</v>
      </c>
      <c r="C84" t="s">
        <v>8</v>
      </c>
      <c r="D84">
        <v>24</v>
      </c>
      <c r="E84" t="s">
        <v>16</v>
      </c>
      <c r="F84" s="4">
        <v>44087</v>
      </c>
      <c r="G84" t="s">
        <v>12</v>
      </c>
      <c r="H84" s="6">
        <v>62780</v>
      </c>
    </row>
    <row r="85" spans="2:8" x14ac:dyDescent="0.25">
      <c r="B85" t="s">
        <v>117</v>
      </c>
      <c r="C85" t="s">
        <v>15</v>
      </c>
      <c r="D85">
        <v>20</v>
      </c>
      <c r="E85" t="s">
        <v>16</v>
      </c>
      <c r="F85" s="4">
        <v>44397</v>
      </c>
      <c r="G85" t="s">
        <v>12</v>
      </c>
      <c r="H85" s="6">
        <v>107700</v>
      </c>
    </row>
    <row r="86" spans="2:8" x14ac:dyDescent="0.25">
      <c r="B86" t="s">
        <v>168</v>
      </c>
      <c r="C86" t="s">
        <v>15</v>
      </c>
      <c r="D86">
        <v>25</v>
      </c>
      <c r="E86" t="s">
        <v>16</v>
      </c>
      <c r="F86" s="4">
        <v>44322</v>
      </c>
      <c r="G86" t="s">
        <v>19</v>
      </c>
      <c r="H86" s="6">
        <v>65700</v>
      </c>
    </row>
    <row r="87" spans="2:8" x14ac:dyDescent="0.25">
      <c r="B87" t="s">
        <v>135</v>
      </c>
      <c r="C87" t="s">
        <v>8</v>
      </c>
      <c r="D87">
        <v>33</v>
      </c>
      <c r="E87" t="s">
        <v>42</v>
      </c>
      <c r="F87" s="4">
        <v>44313</v>
      </c>
      <c r="G87" t="s">
        <v>12</v>
      </c>
      <c r="H87" s="6">
        <v>75480</v>
      </c>
    </row>
    <row r="88" spans="2:8" x14ac:dyDescent="0.25">
      <c r="B88" t="s">
        <v>174</v>
      </c>
      <c r="C88" t="s">
        <v>15</v>
      </c>
      <c r="D88">
        <v>33</v>
      </c>
      <c r="E88" t="s">
        <v>16</v>
      </c>
      <c r="F88" s="4">
        <v>44448</v>
      </c>
      <c r="G88" t="s">
        <v>12</v>
      </c>
      <c r="H88" s="6">
        <v>53870</v>
      </c>
    </row>
    <row r="89" spans="2:8" x14ac:dyDescent="0.25">
      <c r="B89" t="s">
        <v>141</v>
      </c>
      <c r="C89" t="s">
        <v>8</v>
      </c>
      <c r="D89">
        <v>36</v>
      </c>
      <c r="E89" t="s">
        <v>16</v>
      </c>
      <c r="F89" s="4">
        <v>44433</v>
      </c>
      <c r="G89" t="s">
        <v>19</v>
      </c>
      <c r="H89" s="6">
        <v>78540</v>
      </c>
    </row>
    <row r="90" spans="2:8" x14ac:dyDescent="0.25">
      <c r="B90" t="s">
        <v>193</v>
      </c>
      <c r="C90" t="s">
        <v>15</v>
      </c>
      <c r="D90">
        <v>19</v>
      </c>
      <c r="E90" t="s">
        <v>16</v>
      </c>
      <c r="F90" s="4">
        <v>44218</v>
      </c>
      <c r="G90" t="s">
        <v>9</v>
      </c>
      <c r="H90" s="6">
        <v>58960</v>
      </c>
    </row>
    <row r="91" spans="2:8" x14ac:dyDescent="0.25">
      <c r="B91" t="s">
        <v>162</v>
      </c>
      <c r="C91" t="s">
        <v>15</v>
      </c>
      <c r="D91">
        <v>46</v>
      </c>
      <c r="E91" t="s">
        <v>16</v>
      </c>
      <c r="F91" s="4">
        <v>44697</v>
      </c>
      <c r="G91" t="s">
        <v>9</v>
      </c>
      <c r="H91" s="6">
        <v>70610</v>
      </c>
    </row>
    <row r="92" spans="2:8" x14ac:dyDescent="0.25">
      <c r="B92" t="s">
        <v>171</v>
      </c>
      <c r="C92" t="s">
        <v>15</v>
      </c>
      <c r="D92">
        <v>33</v>
      </c>
      <c r="E92" t="s">
        <v>16</v>
      </c>
      <c r="F92" s="4">
        <v>44181</v>
      </c>
      <c r="G92" t="s">
        <v>21</v>
      </c>
      <c r="H92" s="6">
        <v>59430</v>
      </c>
    </row>
    <row r="93" spans="2:8" x14ac:dyDescent="0.25">
      <c r="B93" t="s">
        <v>144</v>
      </c>
      <c r="C93" t="s">
        <v>15</v>
      </c>
      <c r="D93">
        <v>33</v>
      </c>
      <c r="E93" t="s">
        <v>13</v>
      </c>
      <c r="F93" s="4">
        <v>44640</v>
      </c>
      <c r="G93" t="s">
        <v>9</v>
      </c>
      <c r="H93" s="6">
        <v>48530</v>
      </c>
    </row>
    <row r="94" spans="2:8" x14ac:dyDescent="0.25">
      <c r="B94" t="s">
        <v>163</v>
      </c>
      <c r="C94" t="s">
        <v>8</v>
      </c>
      <c r="D94">
        <v>33</v>
      </c>
      <c r="E94" t="s">
        <v>16</v>
      </c>
      <c r="F94" s="4">
        <v>44129</v>
      </c>
      <c r="G94" t="s">
        <v>12</v>
      </c>
      <c r="H94" s="6">
        <v>96140</v>
      </c>
    </row>
    <row r="95" spans="2:8" x14ac:dyDescent="0.25">
      <c r="B95" t="s">
        <v>156</v>
      </c>
      <c r="C95" t="s">
        <v>15</v>
      </c>
      <c r="D95">
        <v>20</v>
      </c>
      <c r="E95" t="s">
        <v>16</v>
      </c>
      <c r="F95" s="4">
        <v>44122</v>
      </c>
      <c r="G95" t="s">
        <v>12</v>
      </c>
      <c r="H95" s="6">
        <v>112650</v>
      </c>
    </row>
    <row r="96" spans="2:8" x14ac:dyDescent="0.25">
      <c r="B96" t="s">
        <v>176</v>
      </c>
      <c r="C96" t="s">
        <v>8</v>
      </c>
      <c r="D96">
        <v>32</v>
      </c>
      <c r="E96" t="s">
        <v>13</v>
      </c>
      <c r="F96" s="4">
        <v>44293</v>
      </c>
      <c r="G96" t="s">
        <v>12</v>
      </c>
      <c r="H96" s="6">
        <v>43840</v>
      </c>
    </row>
    <row r="97" spans="2:8" x14ac:dyDescent="0.25">
      <c r="B97" t="s">
        <v>143</v>
      </c>
      <c r="C97" t="s">
        <v>15</v>
      </c>
      <c r="D97">
        <v>31</v>
      </c>
      <c r="E97" t="s">
        <v>16</v>
      </c>
      <c r="F97" s="4">
        <v>44663</v>
      </c>
      <c r="G97" t="s">
        <v>9</v>
      </c>
      <c r="H97" s="6">
        <v>103550</v>
      </c>
    </row>
    <row r="98" spans="2:8" x14ac:dyDescent="0.25">
      <c r="B98" t="s">
        <v>201</v>
      </c>
      <c r="C98" t="s">
        <v>8</v>
      </c>
      <c r="D98">
        <v>32</v>
      </c>
      <c r="E98" t="s">
        <v>16</v>
      </c>
      <c r="F98" s="4">
        <v>44339</v>
      </c>
      <c r="G98" t="s">
        <v>56</v>
      </c>
      <c r="H98" s="6">
        <v>45510</v>
      </c>
    </row>
    <row r="99" spans="2:8" x14ac:dyDescent="0.25">
      <c r="B99" t="s">
        <v>142</v>
      </c>
      <c r="D99">
        <v>37</v>
      </c>
      <c r="E99" t="s">
        <v>24</v>
      </c>
      <c r="F99" s="4">
        <v>44085</v>
      </c>
      <c r="G99" t="s">
        <v>21</v>
      </c>
      <c r="H99" s="6">
        <v>115440</v>
      </c>
    </row>
    <row r="100" spans="2:8" x14ac:dyDescent="0.25">
      <c r="B100" t="s">
        <v>202</v>
      </c>
      <c r="C100" t="s">
        <v>8</v>
      </c>
      <c r="D100">
        <v>38</v>
      </c>
      <c r="E100" t="s">
        <v>13</v>
      </c>
      <c r="F100" s="4">
        <v>44268</v>
      </c>
      <c r="G100" t="s">
        <v>19</v>
      </c>
      <c r="H100" s="6">
        <v>56870</v>
      </c>
    </row>
    <row r="101" spans="2:8" x14ac:dyDescent="0.25">
      <c r="B101" t="s">
        <v>169</v>
      </c>
      <c r="C101" t="s">
        <v>8</v>
      </c>
      <c r="D101">
        <v>25</v>
      </c>
      <c r="E101" t="s">
        <v>16</v>
      </c>
      <c r="F101" s="4">
        <v>44144</v>
      </c>
      <c r="G101" t="s">
        <v>19</v>
      </c>
      <c r="H101" s="6">
        <v>92700</v>
      </c>
    </row>
    <row r="102" spans="2:8" x14ac:dyDescent="0.25">
      <c r="B102" t="s">
        <v>145</v>
      </c>
      <c r="D102">
        <v>32</v>
      </c>
      <c r="E102" t="s">
        <v>16</v>
      </c>
      <c r="F102" s="4">
        <v>44713</v>
      </c>
      <c r="G102" t="s">
        <v>12</v>
      </c>
      <c r="H102" s="6">
        <v>91310</v>
      </c>
    </row>
    <row r="103" spans="2:8" x14ac:dyDescent="0.25">
      <c r="B103" t="s">
        <v>115</v>
      </c>
      <c r="C103" t="s">
        <v>15</v>
      </c>
      <c r="D103">
        <v>33</v>
      </c>
      <c r="E103" t="s">
        <v>16</v>
      </c>
      <c r="F103" s="4">
        <v>44324</v>
      </c>
      <c r="G103" t="s">
        <v>19</v>
      </c>
      <c r="H103" s="6">
        <v>74550</v>
      </c>
    </row>
    <row r="104" spans="2:8" x14ac:dyDescent="0.25">
      <c r="B104" t="s">
        <v>128</v>
      </c>
      <c r="C104" t="s">
        <v>15</v>
      </c>
      <c r="D104">
        <v>25</v>
      </c>
      <c r="E104" t="s">
        <v>13</v>
      </c>
      <c r="F104" s="4">
        <v>44665</v>
      </c>
      <c r="G104" t="s">
        <v>9</v>
      </c>
      <c r="H104" s="6">
        <v>109190</v>
      </c>
    </row>
    <row r="105" spans="2:8" x14ac:dyDescent="0.25">
      <c r="B105" t="s">
        <v>194</v>
      </c>
      <c r="C105" t="s">
        <v>8</v>
      </c>
      <c r="D105">
        <v>40</v>
      </c>
      <c r="E105" t="s">
        <v>16</v>
      </c>
      <c r="F105" s="4">
        <v>44320</v>
      </c>
      <c r="G105" t="s">
        <v>12</v>
      </c>
      <c r="H105" s="6">
        <v>104410</v>
      </c>
    </row>
    <row r="106" spans="2:8" x14ac:dyDescent="0.25">
      <c r="B106" t="s">
        <v>177</v>
      </c>
      <c r="C106" t="s">
        <v>15</v>
      </c>
      <c r="D106">
        <v>30</v>
      </c>
      <c r="E106" t="s">
        <v>16</v>
      </c>
      <c r="F106" s="4">
        <v>44544</v>
      </c>
      <c r="G106" t="s">
        <v>21</v>
      </c>
      <c r="H106" s="6">
        <v>96800</v>
      </c>
    </row>
    <row r="107" spans="2:8" x14ac:dyDescent="0.25">
      <c r="B107" t="s">
        <v>123</v>
      </c>
      <c r="C107" t="s">
        <v>15</v>
      </c>
      <c r="D107">
        <v>28</v>
      </c>
      <c r="E107" t="s">
        <v>13</v>
      </c>
      <c r="F107" s="4">
        <v>43980</v>
      </c>
      <c r="G107" t="s">
        <v>21</v>
      </c>
      <c r="H107" s="6">
        <v>48170</v>
      </c>
    </row>
    <row r="108" spans="2:8" x14ac:dyDescent="0.25">
      <c r="B108" t="s">
        <v>140</v>
      </c>
      <c r="C108" t="s">
        <v>15</v>
      </c>
      <c r="D108">
        <v>21</v>
      </c>
      <c r="E108" t="s">
        <v>16</v>
      </c>
      <c r="F108" s="4">
        <v>44042</v>
      </c>
      <c r="G108" t="s">
        <v>9</v>
      </c>
      <c r="H108" s="6">
        <v>37920</v>
      </c>
    </row>
    <row r="109" spans="2:8" x14ac:dyDescent="0.25">
      <c r="B109" t="s">
        <v>178</v>
      </c>
      <c r="C109" t="s">
        <v>15</v>
      </c>
      <c r="D109">
        <v>34</v>
      </c>
      <c r="E109" t="s">
        <v>16</v>
      </c>
      <c r="F109" s="4">
        <v>44642</v>
      </c>
      <c r="G109" t="s">
        <v>9</v>
      </c>
      <c r="H109" s="6">
        <v>112650</v>
      </c>
    </row>
    <row r="110" spans="2:8" x14ac:dyDescent="0.25">
      <c r="B110" t="s">
        <v>165</v>
      </c>
      <c r="C110" t="s">
        <v>8</v>
      </c>
      <c r="D110">
        <v>34</v>
      </c>
      <c r="E110" t="s">
        <v>24</v>
      </c>
      <c r="F110" s="4">
        <v>44660</v>
      </c>
      <c r="G110" t="s">
        <v>19</v>
      </c>
      <c r="H110" s="6">
        <v>49630</v>
      </c>
    </row>
    <row r="111" spans="2:8" x14ac:dyDescent="0.25">
      <c r="B111" t="s">
        <v>199</v>
      </c>
      <c r="C111" t="s">
        <v>15</v>
      </c>
      <c r="D111">
        <v>36</v>
      </c>
      <c r="E111" t="s">
        <v>16</v>
      </c>
      <c r="F111" s="4">
        <v>43958</v>
      </c>
      <c r="G111" t="s">
        <v>12</v>
      </c>
      <c r="H111" s="6">
        <v>118840</v>
      </c>
    </row>
    <row r="112" spans="2:8" x14ac:dyDescent="0.25">
      <c r="B112" t="s">
        <v>159</v>
      </c>
      <c r="C112" t="s">
        <v>15</v>
      </c>
      <c r="D112">
        <v>30</v>
      </c>
      <c r="E112" t="s">
        <v>16</v>
      </c>
      <c r="F112" s="4">
        <v>44789</v>
      </c>
      <c r="G112" t="s">
        <v>12</v>
      </c>
      <c r="H112" s="6">
        <v>69710</v>
      </c>
    </row>
    <row r="113" spans="2:8" x14ac:dyDescent="0.25">
      <c r="B113" t="s">
        <v>197</v>
      </c>
      <c r="C113" t="s">
        <v>15</v>
      </c>
      <c r="D113">
        <v>20</v>
      </c>
      <c r="E113" t="s">
        <v>16</v>
      </c>
      <c r="F113" s="4">
        <v>44683</v>
      </c>
      <c r="G113" t="s">
        <v>9</v>
      </c>
      <c r="H113" s="6">
        <v>79570</v>
      </c>
    </row>
    <row r="114" spans="2:8" x14ac:dyDescent="0.25">
      <c r="B114" t="s">
        <v>154</v>
      </c>
      <c r="C114" t="s">
        <v>8</v>
      </c>
      <c r="D114">
        <v>22</v>
      </c>
      <c r="E114" t="s">
        <v>13</v>
      </c>
      <c r="F114" s="4">
        <v>44388</v>
      </c>
      <c r="G114" t="s">
        <v>9</v>
      </c>
      <c r="H114" s="6">
        <v>76900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40A60-5B56-4780-9521-E422F50855B6}">
  <dimension ref="B1:V184"/>
  <sheetViews>
    <sheetView zoomScale="85" zoomScaleNormal="85" workbookViewId="0">
      <selection activeCell="F2" sqref="F2"/>
    </sheetView>
  </sheetViews>
  <sheetFormatPr defaultRowHeight="15" x14ac:dyDescent="0.25"/>
  <cols>
    <col min="2" max="2" width="30" bestFit="1" customWidth="1"/>
    <col min="3" max="3" width="10" bestFit="1" customWidth="1"/>
    <col min="4" max="4" width="6.7109375" bestFit="1" customWidth="1"/>
    <col min="5" max="5" width="14.28515625" bestFit="1" customWidth="1"/>
    <col min="6" max="6" width="13.7109375" bestFit="1" customWidth="1"/>
    <col min="7" max="7" width="14" bestFit="1" customWidth="1"/>
    <col min="8" max="8" width="12.28515625" bestFit="1" customWidth="1"/>
    <col min="9" max="9" width="10.28515625" bestFit="1" customWidth="1"/>
    <col min="10" max="10" width="9.5703125" bestFit="1" customWidth="1"/>
    <col min="11" max="11" width="9.85546875" bestFit="1" customWidth="1"/>
    <col min="12" max="12" width="22.85546875" bestFit="1" customWidth="1"/>
    <col min="13" max="13" width="26.5703125" bestFit="1" customWidth="1"/>
    <col min="14" max="14" width="25.140625" customWidth="1"/>
    <col min="15" max="15" width="11.28515625" bestFit="1" customWidth="1"/>
    <col min="16" max="16" width="28" bestFit="1" customWidth="1"/>
    <col min="17" max="17" width="6.7109375" bestFit="1" customWidth="1"/>
    <col min="18" max="18" width="15.85546875" bestFit="1" customWidth="1"/>
    <col min="19" max="19" width="8.5703125" bestFit="1" customWidth="1"/>
    <col min="20" max="20" width="14.28515625" bestFit="1" customWidth="1"/>
    <col min="21" max="21" width="10.28515625" bestFit="1" customWidth="1"/>
  </cols>
  <sheetData>
    <row r="1" spans="2:20" x14ac:dyDescent="0.25">
      <c r="B1" t="s">
        <v>0</v>
      </c>
      <c r="C1" t="s">
        <v>1</v>
      </c>
      <c r="D1" t="s">
        <v>3</v>
      </c>
      <c r="E1" t="s">
        <v>6</v>
      </c>
      <c r="F1" t="s">
        <v>4</v>
      </c>
      <c r="G1" t="s">
        <v>2</v>
      </c>
      <c r="H1" t="s">
        <v>5</v>
      </c>
      <c r="I1" t="s">
        <v>203</v>
      </c>
      <c r="J1" s="7" t="s">
        <v>212</v>
      </c>
      <c r="K1" s="19" t="s">
        <v>238</v>
      </c>
      <c r="L1" t="s">
        <v>240</v>
      </c>
      <c r="M1" t="s">
        <v>241</v>
      </c>
      <c r="O1" s="11" t="s">
        <v>218</v>
      </c>
      <c r="P1" s="8"/>
      <c r="Q1" s="8" t="s">
        <v>211</v>
      </c>
    </row>
    <row r="2" spans="2:20" x14ac:dyDescent="0.25">
      <c r="B2" t="s">
        <v>86</v>
      </c>
      <c r="C2" t="s">
        <v>8</v>
      </c>
      <c r="D2">
        <v>21</v>
      </c>
      <c r="E2" t="s">
        <v>16</v>
      </c>
      <c r="F2" s="5">
        <v>44678</v>
      </c>
      <c r="G2" t="s">
        <v>12</v>
      </c>
      <c r="H2">
        <v>33920</v>
      </c>
      <c r="I2" t="s">
        <v>204</v>
      </c>
      <c r="J2" s="7">
        <f ca="1">(TODAY() - staff[[#This Row],[Date Joined]]) / 365</f>
        <v>3.6219178082191781</v>
      </c>
      <c r="K2" s="19">
        <f ca="1">ROUNDUP(IF(staff[[#This Row],[Tenure]]&gt;2, 3%, 2%) * staff[[#This Row],[Salary]],0)</f>
        <v>1018</v>
      </c>
      <c r="L2" cm="1">
        <f t="array" ref="L2">_xlfn.IFS(staff[[#This Row],[Rating]]="Exceptional", 5, staff[[#This Row],[Rating]]="Above average", 4, staff[[#This Row],[Rating]]="Average", 3, staff[[#This Row],[Rating]]="Poor", 2, staff[[#This Row],[Rating]]="Very poor", 1)</f>
        <v>3</v>
      </c>
      <c r="M2">
        <f>_xlfn.XLOOKUP(staff[[#This Row],[Rating]],'Lookup Array'!$A$1:$A$5, 'Lookup Array'!$B$1:$B$5, "No Rating")</f>
        <v>3</v>
      </c>
      <c r="O2" s="8" t="s">
        <v>208</v>
      </c>
      <c r="P2" s="8">
        <f>COUNTA(staff[Name])</f>
        <v>183</v>
      </c>
      <c r="Q2" s="8"/>
    </row>
    <row r="3" spans="2:20" x14ac:dyDescent="0.25">
      <c r="B3" t="s">
        <v>179</v>
      </c>
      <c r="C3" t="s">
        <v>8</v>
      </c>
      <c r="D3">
        <v>21</v>
      </c>
      <c r="E3" t="s">
        <v>16</v>
      </c>
      <c r="F3" s="5">
        <v>44619</v>
      </c>
      <c r="G3" t="s">
        <v>12</v>
      </c>
      <c r="H3">
        <v>33920</v>
      </c>
      <c r="I3" t="s">
        <v>206</v>
      </c>
      <c r="J3" s="7">
        <f ca="1">(TODAY() - staff[[#This Row],[Date Joined]]) / 365</f>
        <v>3.7835616438356166</v>
      </c>
      <c r="K3" s="19">
        <f ca="1">ROUNDUP(IF(staff[[#This Row],[Tenure]]&gt;2, 3%, 2%) * staff[[#This Row],[Salary]],0)</f>
        <v>1018</v>
      </c>
      <c r="L3" cm="1">
        <f t="array" ref="L3">_xlfn.IFS(staff[[#This Row],[Rating]]="Exceptional", 5, staff[[#This Row],[Rating]]="Above average", 4, staff[[#This Row],[Rating]]="Average", 3, staff[[#This Row],[Rating]]="Poor", 2, staff[[#This Row],[Rating]]="Very poor", 1)</f>
        <v>3</v>
      </c>
      <c r="M3">
        <f>_xlfn.XLOOKUP(staff[[#This Row],[Rating]],'Lookup Array'!$A$1:$A$5, 'Lookup Array'!$B$1:$B$5, "No Rating")</f>
        <v>3</v>
      </c>
      <c r="O3" s="8" t="s">
        <v>207</v>
      </c>
      <c r="P3" s="9">
        <f>AVERAGE(staff[Salary])</f>
        <v>77173.715846994543</v>
      </c>
      <c r="Q3" s="8">
        <f>MEDIAN(staff[Salary])</f>
        <v>75000</v>
      </c>
    </row>
    <row r="4" spans="2:20" x14ac:dyDescent="0.25">
      <c r="B4" t="s">
        <v>44</v>
      </c>
      <c r="C4" t="s">
        <v>8</v>
      </c>
      <c r="D4">
        <v>29</v>
      </c>
      <c r="E4" t="s">
        <v>16</v>
      </c>
      <c r="F4" s="5">
        <v>44023</v>
      </c>
      <c r="G4" t="s">
        <v>12</v>
      </c>
      <c r="H4">
        <v>34980</v>
      </c>
      <c r="I4" t="s">
        <v>204</v>
      </c>
      <c r="J4" s="7">
        <f ca="1">(TODAY() - staff[[#This Row],[Date Joined]]) / 365</f>
        <v>5.4164383561643836</v>
      </c>
      <c r="K4" s="19">
        <f ca="1">ROUNDUP(IF(staff[[#This Row],[Tenure]]&gt;2, 3%, 2%) * staff[[#This Row],[Salary]],0)</f>
        <v>1050</v>
      </c>
      <c r="L4" cm="1">
        <f t="array" ref="L4">_xlfn.IFS(staff[[#This Row],[Rating]]="Exceptional", 5, staff[[#This Row],[Rating]]="Above average", 4, staff[[#This Row],[Rating]]="Average", 3, staff[[#This Row],[Rating]]="Poor", 2, staff[[#This Row],[Rating]]="Very poor", 1)</f>
        <v>3</v>
      </c>
      <c r="M4">
        <f>_xlfn.XLOOKUP(staff[[#This Row],[Rating]],'Lookup Array'!$A$1:$A$5, 'Lookup Array'!$B$1:$B$5, "No Rating")</f>
        <v>3</v>
      </c>
      <c r="O4" s="8" t="s">
        <v>209</v>
      </c>
      <c r="P4" s="8">
        <f>AVERAGE(staff[Age])</f>
        <v>30.42622950819672</v>
      </c>
      <c r="Q4" s="8">
        <f>MEDIAN(staff[Age])</f>
        <v>30</v>
      </c>
      <c r="T4" s="17"/>
    </row>
    <row r="5" spans="2:20" x14ac:dyDescent="0.25">
      <c r="B5" t="s">
        <v>137</v>
      </c>
      <c r="C5" t="s">
        <v>8</v>
      </c>
      <c r="D5">
        <v>29</v>
      </c>
      <c r="E5" t="s">
        <v>16</v>
      </c>
      <c r="F5" s="5">
        <v>43962</v>
      </c>
      <c r="G5" t="s">
        <v>12</v>
      </c>
      <c r="H5">
        <v>34980</v>
      </c>
      <c r="I5" t="s">
        <v>206</v>
      </c>
      <c r="J5" s="7">
        <f ca="1">(TODAY() - staff[[#This Row],[Date Joined]]) / 365</f>
        <v>5.5835616438356164</v>
      </c>
      <c r="K5" s="19">
        <f ca="1">ROUNDUP(IF(staff[[#This Row],[Tenure]]&gt;2, 3%, 2%) * staff[[#This Row],[Salary]],0)</f>
        <v>1050</v>
      </c>
      <c r="L5" cm="1">
        <f t="array" ref="L5">_xlfn.IFS(staff[[#This Row],[Rating]]="Exceptional", 5, staff[[#This Row],[Rating]]="Above average", 4, staff[[#This Row],[Rating]]="Average", 3, staff[[#This Row],[Rating]]="Poor", 2, staff[[#This Row],[Rating]]="Very poor", 1)</f>
        <v>3</v>
      </c>
      <c r="M5">
        <f>_xlfn.XLOOKUP(staff[[#This Row],[Rating]],'Lookup Array'!$A$1:$A$5, 'Lookup Array'!$B$1:$B$5, "No Rating")</f>
        <v>3</v>
      </c>
      <c r="O5" s="8" t="s">
        <v>210</v>
      </c>
      <c r="P5" s="8">
        <f ca="1">AVERAGE(staff[Tenure])</f>
        <v>4.2930608578486416</v>
      </c>
      <c r="Q5" s="8"/>
      <c r="T5" s="17"/>
    </row>
    <row r="6" spans="2:20" x14ac:dyDescent="0.25">
      <c r="B6" t="s">
        <v>99</v>
      </c>
      <c r="C6" t="s">
        <v>15</v>
      </c>
      <c r="D6">
        <v>43</v>
      </c>
      <c r="E6" t="s">
        <v>16</v>
      </c>
      <c r="F6" s="5">
        <v>44620</v>
      </c>
      <c r="G6" t="s">
        <v>19</v>
      </c>
      <c r="H6">
        <v>36040</v>
      </c>
      <c r="I6" t="s">
        <v>204</v>
      </c>
      <c r="J6" s="7">
        <f ca="1">(TODAY() - staff[[#This Row],[Date Joined]]) / 365</f>
        <v>3.7808219178082192</v>
      </c>
      <c r="K6" s="19">
        <f ca="1">ROUNDUP(IF(staff[[#This Row],[Tenure]]&gt;2, 3%, 2%) * staff[[#This Row],[Salary]],0)</f>
        <v>1082</v>
      </c>
      <c r="L6" cm="1">
        <f t="array" ref="L6">_xlfn.IFS(staff[[#This Row],[Rating]]="Exceptional", 5, staff[[#This Row],[Rating]]="Above average", 4, staff[[#This Row],[Rating]]="Average", 3, staff[[#This Row],[Rating]]="Poor", 2, staff[[#This Row],[Rating]]="Very poor", 1)</f>
        <v>3</v>
      </c>
      <c r="M6">
        <f>_xlfn.XLOOKUP(staff[[#This Row],[Rating]],'Lookup Array'!$A$1:$A$5, 'Lookup Array'!$B$1:$B$5, "No Rating")</f>
        <v>3</v>
      </c>
      <c r="O6" s="8"/>
      <c r="P6" s="8"/>
      <c r="Q6" s="8"/>
      <c r="T6" s="17"/>
    </row>
    <row r="7" spans="2:20" x14ac:dyDescent="0.25">
      <c r="B7" t="s">
        <v>192</v>
      </c>
      <c r="C7" t="s">
        <v>15</v>
      </c>
      <c r="D7">
        <v>43</v>
      </c>
      <c r="E7" t="s">
        <v>16</v>
      </c>
      <c r="F7" s="5">
        <v>44558</v>
      </c>
      <c r="G7" t="s">
        <v>19</v>
      </c>
      <c r="H7">
        <v>36040</v>
      </c>
      <c r="I7" t="s">
        <v>206</v>
      </c>
      <c r="J7" s="7">
        <f ca="1">(TODAY() - staff[[#This Row],[Date Joined]]) / 365</f>
        <v>3.9506849315068493</v>
      </c>
      <c r="K7" s="19">
        <f ca="1">ROUNDUP(IF(staff[[#This Row],[Tenure]]&gt;2, 3%, 2%) * staff[[#This Row],[Salary]],0)</f>
        <v>1082</v>
      </c>
      <c r="L7" cm="1">
        <f t="array" ref="L7">_xlfn.IFS(staff[[#This Row],[Rating]]="Exceptional", 5, staff[[#This Row],[Rating]]="Above average", 4, staff[[#This Row],[Rating]]="Average", 3, staff[[#This Row],[Rating]]="Poor", 2, staff[[#This Row],[Rating]]="Very poor", 1)</f>
        <v>3</v>
      </c>
      <c r="M7">
        <f>_xlfn.XLOOKUP(staff[[#This Row],[Rating]],'Lookup Array'!$A$1:$A$5, 'Lookup Array'!$B$1:$B$5, "No Rating")</f>
        <v>3</v>
      </c>
      <c r="O7" s="8" t="s">
        <v>213</v>
      </c>
      <c r="P7" s="8">
        <f>COUNTIFS(staff[Gender], "Female")</f>
        <v>86</v>
      </c>
      <c r="Q7" s="8"/>
      <c r="T7" s="17"/>
    </row>
    <row r="8" spans="2:20" x14ac:dyDescent="0.25">
      <c r="B8" t="s">
        <v>47</v>
      </c>
      <c r="C8" t="s">
        <v>15</v>
      </c>
      <c r="D8">
        <v>21</v>
      </c>
      <c r="E8" t="s">
        <v>16</v>
      </c>
      <c r="F8" s="5">
        <v>44104</v>
      </c>
      <c r="G8" t="s">
        <v>9</v>
      </c>
      <c r="H8">
        <v>37920</v>
      </c>
      <c r="I8" t="s">
        <v>204</v>
      </c>
      <c r="J8" s="7">
        <f ca="1">(TODAY() - staff[[#This Row],[Date Joined]]) / 365</f>
        <v>5.1945205479452055</v>
      </c>
      <c r="K8" s="19">
        <f ca="1">ROUNDUP(IF(staff[[#This Row],[Tenure]]&gt;2, 3%, 2%) * staff[[#This Row],[Salary]],0)</f>
        <v>1138</v>
      </c>
      <c r="L8" cm="1">
        <f t="array" ref="L8">_xlfn.IFS(staff[[#This Row],[Rating]]="Exceptional", 5, staff[[#This Row],[Rating]]="Above average", 4, staff[[#This Row],[Rating]]="Average", 3, staff[[#This Row],[Rating]]="Poor", 2, staff[[#This Row],[Rating]]="Very poor", 1)</f>
        <v>3</v>
      </c>
      <c r="M8">
        <f>_xlfn.XLOOKUP(staff[[#This Row],[Rating]],'Lookup Array'!$A$1:$A$5, 'Lookup Array'!$B$1:$B$5, "No Rating")</f>
        <v>3</v>
      </c>
      <c r="O8" s="8" t="s">
        <v>214</v>
      </c>
      <c r="P8" s="10">
        <f>P7 / P2</f>
        <v>0.46994535519125685</v>
      </c>
      <c r="Q8" s="8"/>
      <c r="T8" s="17"/>
    </row>
    <row r="9" spans="2:20" x14ac:dyDescent="0.25">
      <c r="B9" t="s">
        <v>140</v>
      </c>
      <c r="C9" t="s">
        <v>15</v>
      </c>
      <c r="D9">
        <v>21</v>
      </c>
      <c r="E9" t="s">
        <v>16</v>
      </c>
      <c r="F9" s="5">
        <v>44042</v>
      </c>
      <c r="G9" t="s">
        <v>9</v>
      </c>
      <c r="H9">
        <v>37920</v>
      </c>
      <c r="I9" t="s">
        <v>206</v>
      </c>
      <c r="J9" s="7">
        <f ca="1">(TODAY() - staff[[#This Row],[Date Joined]]) / 365</f>
        <v>5.3643835616438356</v>
      </c>
      <c r="K9" s="19">
        <f ca="1">ROUNDUP(IF(staff[[#This Row],[Tenure]]&gt;2, 3%, 2%) * staff[[#This Row],[Salary]],0)</f>
        <v>1138</v>
      </c>
      <c r="L9" cm="1">
        <f t="array" ref="L9">_xlfn.IFS(staff[[#This Row],[Rating]]="Exceptional", 5, staff[[#This Row],[Rating]]="Above average", 4, staff[[#This Row],[Rating]]="Average", 3, staff[[#This Row],[Rating]]="Poor", 2, staff[[#This Row],[Rating]]="Very poor", 1)</f>
        <v>3</v>
      </c>
      <c r="M9">
        <f>_xlfn.XLOOKUP(staff[[#This Row],[Rating]],'Lookup Array'!$A$1:$A$5, 'Lookup Array'!$B$1:$B$5, "No Rating")</f>
        <v>3</v>
      </c>
      <c r="O9" s="8"/>
      <c r="P9" s="8"/>
      <c r="Q9" s="8"/>
    </row>
    <row r="10" spans="2:20" x14ac:dyDescent="0.25">
      <c r="B10" t="s">
        <v>57</v>
      </c>
      <c r="C10" t="s">
        <v>15</v>
      </c>
      <c r="D10">
        <v>35</v>
      </c>
      <c r="E10" t="s">
        <v>16</v>
      </c>
      <c r="F10" s="5">
        <v>44727</v>
      </c>
      <c r="G10" t="s">
        <v>9</v>
      </c>
      <c r="H10">
        <v>40400</v>
      </c>
      <c r="I10" t="s">
        <v>204</v>
      </c>
      <c r="J10" s="7">
        <f ca="1">(TODAY() - staff[[#This Row],[Date Joined]]) / 365</f>
        <v>3.4876712328767123</v>
      </c>
      <c r="K10" s="19">
        <f ca="1">ROUNDUP(IF(staff[[#This Row],[Tenure]]&gt;2, 3%, 2%) * staff[[#This Row],[Salary]],0)</f>
        <v>1212</v>
      </c>
      <c r="L10" cm="1">
        <f t="array" ref="L10">_xlfn.IFS(staff[[#This Row],[Rating]]="Exceptional", 5, staff[[#This Row],[Rating]]="Above average", 4, staff[[#This Row],[Rating]]="Average", 3, staff[[#This Row],[Rating]]="Poor", 2, staff[[#This Row],[Rating]]="Very poor", 1)</f>
        <v>3</v>
      </c>
      <c r="M10">
        <f>_xlfn.XLOOKUP(staff[[#This Row],[Rating]],'Lookup Array'!$A$1:$A$5, 'Lookup Array'!$B$1:$B$5, "No Rating")</f>
        <v>3</v>
      </c>
      <c r="O10" s="8" t="s">
        <v>216</v>
      </c>
      <c r="P10" s="8">
        <f>COUNTIFS(staff[Salary], "&gt;90000")</f>
        <v>63</v>
      </c>
      <c r="Q10" s="8"/>
    </row>
    <row r="11" spans="2:20" x14ac:dyDescent="0.25">
      <c r="B11" t="s">
        <v>149</v>
      </c>
      <c r="C11" t="s">
        <v>15</v>
      </c>
      <c r="D11">
        <v>35</v>
      </c>
      <c r="E11" t="s">
        <v>16</v>
      </c>
      <c r="F11" s="5">
        <v>44666</v>
      </c>
      <c r="G11" t="s">
        <v>9</v>
      </c>
      <c r="H11">
        <v>40400</v>
      </c>
      <c r="I11" t="s">
        <v>206</v>
      </c>
      <c r="J11" s="7">
        <f ca="1">(TODAY() - staff[[#This Row],[Date Joined]]) / 365</f>
        <v>3.6547945205479451</v>
      </c>
      <c r="K11" s="19">
        <f ca="1">ROUNDUP(IF(staff[[#This Row],[Tenure]]&gt;2, 3%, 2%) * staff[[#This Row],[Salary]],0)</f>
        <v>1212</v>
      </c>
      <c r="L11" cm="1">
        <f t="array" ref="L11">_xlfn.IFS(staff[[#This Row],[Rating]]="Exceptional", 5, staff[[#This Row],[Rating]]="Above average", 4, staff[[#This Row],[Rating]]="Average", 3, staff[[#This Row],[Rating]]="Poor", 2, staff[[#This Row],[Rating]]="Very poor", 1)</f>
        <v>3</v>
      </c>
      <c r="M11">
        <f>_xlfn.XLOOKUP(staff[[#This Row],[Rating]],'Lookup Array'!$A$1:$A$5, 'Lookup Array'!$B$1:$B$5, "No Rating")</f>
        <v>3</v>
      </c>
      <c r="O11" s="8" t="s">
        <v>215</v>
      </c>
      <c r="P11" s="10">
        <f>P10/P2</f>
        <v>0.34426229508196721</v>
      </c>
      <c r="Q11" s="8"/>
    </row>
    <row r="12" spans="2:20" x14ac:dyDescent="0.25">
      <c r="B12" t="s">
        <v>66</v>
      </c>
      <c r="C12" t="s">
        <v>8</v>
      </c>
      <c r="D12">
        <v>32</v>
      </c>
      <c r="E12" t="s">
        <v>16</v>
      </c>
      <c r="F12" s="5">
        <v>44611</v>
      </c>
      <c r="G12" t="s">
        <v>9</v>
      </c>
      <c r="H12">
        <v>41570</v>
      </c>
      <c r="I12" t="s">
        <v>204</v>
      </c>
      <c r="J12" s="7">
        <f ca="1">(TODAY() - staff[[#This Row],[Date Joined]]) / 365</f>
        <v>3.8054794520547945</v>
      </c>
      <c r="K12" s="19">
        <f ca="1">ROUNDUP(IF(staff[[#This Row],[Tenure]]&gt;2, 3%, 2%) * staff[[#This Row],[Salary]],0)</f>
        <v>1248</v>
      </c>
      <c r="L12" cm="1">
        <f t="array" ref="L12">_xlfn.IFS(staff[[#This Row],[Rating]]="Exceptional", 5, staff[[#This Row],[Rating]]="Above average", 4, staff[[#This Row],[Rating]]="Average", 3, staff[[#This Row],[Rating]]="Poor", 2, staff[[#This Row],[Rating]]="Very poor", 1)</f>
        <v>3</v>
      </c>
      <c r="M12">
        <f>_xlfn.XLOOKUP(staff[[#This Row],[Rating]],'Lookup Array'!$A$1:$A$5, 'Lookup Array'!$B$1:$B$5, "No Rating")</f>
        <v>3</v>
      </c>
    </row>
    <row r="13" spans="2:20" x14ac:dyDescent="0.25">
      <c r="B13" t="s">
        <v>158</v>
      </c>
      <c r="C13" t="s">
        <v>8</v>
      </c>
      <c r="D13">
        <v>32</v>
      </c>
      <c r="E13" t="s">
        <v>16</v>
      </c>
      <c r="F13" s="5">
        <v>44549</v>
      </c>
      <c r="G13" t="s">
        <v>9</v>
      </c>
      <c r="H13">
        <v>41570</v>
      </c>
      <c r="I13" t="s">
        <v>206</v>
      </c>
      <c r="J13" s="7">
        <f ca="1">(TODAY() - staff[[#This Row],[Date Joined]]) / 365</f>
        <v>3.9753424657534246</v>
      </c>
      <c r="K13" s="19">
        <f ca="1">ROUNDUP(IF(staff[[#This Row],[Tenure]]&gt;2, 3%, 2%) * staff[[#This Row],[Salary]],0)</f>
        <v>1248</v>
      </c>
      <c r="L13" cm="1">
        <f t="array" ref="L13">_xlfn.IFS(staff[[#This Row],[Rating]]="Exceptional", 5, staff[[#This Row],[Rating]]="Above average", 4, staff[[#This Row],[Rating]]="Average", 3, staff[[#This Row],[Rating]]="Poor", 2, staff[[#This Row],[Rating]]="Very poor", 1)</f>
        <v>3</v>
      </c>
      <c r="M13">
        <f>_xlfn.XLOOKUP(staff[[#This Row],[Rating]],'Lookup Array'!$A$1:$A$5, 'Lookup Array'!$B$1:$B$5, "No Rating")</f>
        <v>3</v>
      </c>
    </row>
    <row r="14" spans="2:20" x14ac:dyDescent="0.25">
      <c r="B14" t="s">
        <v>30</v>
      </c>
      <c r="C14" t="s">
        <v>8</v>
      </c>
      <c r="D14">
        <v>31</v>
      </c>
      <c r="E14" t="s">
        <v>16</v>
      </c>
      <c r="F14" s="5">
        <v>44145</v>
      </c>
      <c r="G14" t="s">
        <v>12</v>
      </c>
      <c r="H14">
        <v>41980</v>
      </c>
      <c r="I14" t="s">
        <v>204</v>
      </c>
      <c r="J14" s="7">
        <f ca="1">(TODAY() - staff[[#This Row],[Date Joined]]) / 365</f>
        <v>5.0821917808219181</v>
      </c>
      <c r="K14" s="19">
        <f ca="1">ROUNDUP(IF(staff[[#This Row],[Tenure]]&gt;2, 3%, 2%) * staff[[#This Row],[Salary]],0)</f>
        <v>1260</v>
      </c>
      <c r="L14" cm="1">
        <f t="array" ref="L14">_xlfn.IFS(staff[[#This Row],[Rating]]="Exceptional", 5, staff[[#This Row],[Rating]]="Above average", 4, staff[[#This Row],[Rating]]="Average", 3, staff[[#This Row],[Rating]]="Poor", 2, staff[[#This Row],[Rating]]="Very poor", 1)</f>
        <v>3</v>
      </c>
      <c r="M14">
        <f>_xlfn.XLOOKUP(staff[[#This Row],[Rating]],'Lookup Array'!$A$1:$A$5, 'Lookup Array'!$B$1:$B$5, "No Rating")</f>
        <v>3</v>
      </c>
      <c r="O14" s="12" t="s">
        <v>217</v>
      </c>
    </row>
    <row r="15" spans="2:20" x14ac:dyDescent="0.25">
      <c r="B15" t="s">
        <v>124</v>
      </c>
      <c r="C15" t="s">
        <v>8</v>
      </c>
      <c r="D15">
        <v>31</v>
      </c>
      <c r="E15" t="s">
        <v>16</v>
      </c>
      <c r="F15" s="5">
        <v>44084</v>
      </c>
      <c r="G15" t="s">
        <v>12</v>
      </c>
      <c r="H15">
        <v>41980</v>
      </c>
      <c r="I15" t="s">
        <v>206</v>
      </c>
      <c r="J15" s="7">
        <f ca="1">(TODAY() - staff[[#This Row],[Date Joined]]) / 365</f>
        <v>5.2493150684931509</v>
      </c>
      <c r="K15" s="19">
        <f ca="1">ROUNDUP(IF(staff[[#This Row],[Tenure]]&gt;2, 3%, 2%) * staff[[#This Row],[Salary]],0)</f>
        <v>1260</v>
      </c>
      <c r="L15" cm="1">
        <f t="array" ref="L15">_xlfn.IFS(staff[[#This Row],[Rating]]="Exceptional", 5, staff[[#This Row],[Rating]]="Above average", 4, staff[[#This Row],[Rating]]="Average", 3, staff[[#This Row],[Rating]]="Poor", 2, staff[[#This Row],[Rating]]="Very poor", 1)</f>
        <v>3</v>
      </c>
      <c r="M15">
        <f>_xlfn.XLOOKUP(staff[[#This Row],[Rating]],'Lookup Array'!$A$1:$A$5, 'Lookup Array'!$B$1:$B$5, "No Rating")</f>
        <v>3</v>
      </c>
    </row>
    <row r="16" spans="2:20" x14ac:dyDescent="0.25">
      <c r="B16" t="s">
        <v>80</v>
      </c>
      <c r="C16" t="s">
        <v>15</v>
      </c>
      <c r="D16">
        <v>28</v>
      </c>
      <c r="E16" t="s">
        <v>42</v>
      </c>
      <c r="F16" s="5">
        <v>44820</v>
      </c>
      <c r="G16" t="s">
        <v>19</v>
      </c>
      <c r="H16">
        <v>43510</v>
      </c>
      <c r="I16" t="s">
        <v>204</v>
      </c>
      <c r="J16" s="7">
        <f ca="1">(TODAY() - staff[[#This Row],[Date Joined]]) / 365</f>
        <v>3.2328767123287672</v>
      </c>
      <c r="K16" s="19">
        <f ca="1">ROUNDUP(IF(staff[[#This Row],[Tenure]]&gt;2, 3%, 2%) * staff[[#This Row],[Salary]],0)</f>
        <v>1306</v>
      </c>
      <c r="L16" cm="1">
        <f t="array" ref="L16">_xlfn.IFS(staff[[#This Row],[Rating]]="Exceptional", 5, staff[[#This Row],[Rating]]="Above average", 4, staff[[#This Row],[Rating]]="Average", 3, staff[[#This Row],[Rating]]="Poor", 2, staff[[#This Row],[Rating]]="Very poor", 1)</f>
        <v>1</v>
      </c>
      <c r="M16">
        <f>_xlfn.XLOOKUP(staff[[#This Row],[Rating]],'Lookup Array'!$A$1:$A$5, 'Lookup Array'!$B$1:$B$5, "No Rating")</f>
        <v>1</v>
      </c>
      <c r="O16" s="13" t="s">
        <v>7</v>
      </c>
    </row>
    <row r="17" spans="2:22" x14ac:dyDescent="0.25">
      <c r="B17" t="s">
        <v>172</v>
      </c>
      <c r="C17" t="s">
        <v>15</v>
      </c>
      <c r="D17">
        <v>28</v>
      </c>
      <c r="E17" t="s">
        <v>42</v>
      </c>
      <c r="F17" s="5">
        <v>44758</v>
      </c>
      <c r="G17" t="s">
        <v>19</v>
      </c>
      <c r="H17">
        <v>43510</v>
      </c>
      <c r="I17" t="s">
        <v>206</v>
      </c>
      <c r="J17" s="7">
        <f ca="1">(TODAY() - staff[[#This Row],[Date Joined]]) / 365</f>
        <v>3.4027397260273973</v>
      </c>
      <c r="K17" s="19">
        <f ca="1">ROUNDUP(IF(staff[[#This Row],[Tenure]]&gt;2, 3%, 2%) * staff[[#This Row],[Salary]],0)</f>
        <v>1306</v>
      </c>
      <c r="L17" cm="1">
        <f t="array" ref="L17">_xlfn.IFS(staff[[#This Row],[Rating]]="Exceptional", 5, staff[[#This Row],[Rating]]="Above average", 4, staff[[#This Row],[Rating]]="Average", 3, staff[[#This Row],[Rating]]="Poor", 2, staff[[#This Row],[Rating]]="Very poor", 1)</f>
        <v>1</v>
      </c>
      <c r="M17">
        <f>_xlfn.XLOOKUP(staff[[#This Row],[Rating]],'Lookup Array'!$A$1:$A$5, 'Lookup Array'!$B$1:$B$5, "No Rating")</f>
        <v>1</v>
      </c>
    </row>
    <row r="18" spans="2:22" x14ac:dyDescent="0.25">
      <c r="B18" t="s">
        <v>84</v>
      </c>
      <c r="C18" t="s">
        <v>8</v>
      </c>
      <c r="D18">
        <v>32</v>
      </c>
      <c r="E18" t="s">
        <v>13</v>
      </c>
      <c r="F18" s="5">
        <v>44354</v>
      </c>
      <c r="G18" t="s">
        <v>12</v>
      </c>
      <c r="H18">
        <v>43840</v>
      </c>
      <c r="I18" t="s">
        <v>204</v>
      </c>
      <c r="J18" s="7">
        <f ca="1">(TODAY() - staff[[#This Row],[Date Joined]]) / 365</f>
        <v>4.5095890410958903</v>
      </c>
      <c r="K18" s="19">
        <f ca="1">ROUNDUP(IF(staff[[#This Row],[Tenure]]&gt;2, 3%, 2%) * staff[[#This Row],[Salary]],0)</f>
        <v>1316</v>
      </c>
      <c r="L18" cm="1">
        <f t="array" ref="L18">_xlfn.IFS(staff[[#This Row],[Rating]]="Exceptional", 5, staff[[#This Row],[Rating]]="Above average", 4, staff[[#This Row],[Rating]]="Average", 3, staff[[#This Row],[Rating]]="Poor", 2, staff[[#This Row],[Rating]]="Very poor", 1)</f>
        <v>4</v>
      </c>
      <c r="M18">
        <f>_xlfn.XLOOKUP(staff[[#This Row],[Rating]],'Lookup Array'!$A$1:$A$5, 'Lookup Array'!$B$1:$B$5, "No Rating")</f>
        <v>4</v>
      </c>
      <c r="O18" t="str" cm="1">
        <f t="array" aca="1" ref="O18:V18" ca="1">_xlfn.XLOOKUP(O16,staff[Name], staff[[Gender]:[Tenure]])</f>
        <v>Female</v>
      </c>
      <c r="P18">
        <f ca="1"/>
        <v>42</v>
      </c>
      <c r="Q18" t="str">
        <f ca="1"/>
        <v>Exceptional</v>
      </c>
      <c r="R18">
        <f ca="1"/>
        <v>44779</v>
      </c>
      <c r="S18" t="str">
        <f ca="1"/>
        <v>Procurement</v>
      </c>
      <c r="T18">
        <f ca="1"/>
        <v>75000</v>
      </c>
      <c r="U18" t="str">
        <f ca="1"/>
        <v>NZ</v>
      </c>
      <c r="V18">
        <f ca="1"/>
        <v>3.3452054794520549</v>
      </c>
    </row>
    <row r="19" spans="2:22" x14ac:dyDescent="0.25">
      <c r="B19" t="s">
        <v>176</v>
      </c>
      <c r="C19" t="s">
        <v>8</v>
      </c>
      <c r="D19">
        <v>32</v>
      </c>
      <c r="E19" t="s">
        <v>13</v>
      </c>
      <c r="F19" s="5">
        <v>44293</v>
      </c>
      <c r="G19" t="s">
        <v>12</v>
      </c>
      <c r="H19">
        <v>43840</v>
      </c>
      <c r="I19" t="s">
        <v>206</v>
      </c>
      <c r="J19" s="7">
        <f ca="1">(TODAY() - staff[[#This Row],[Date Joined]]) / 365</f>
        <v>4.6767123287671231</v>
      </c>
      <c r="K19" s="19">
        <f ca="1">ROUNDUP(IF(staff[[#This Row],[Tenure]]&gt;2, 3%, 2%) * staff[[#This Row],[Salary]],0)</f>
        <v>1316</v>
      </c>
      <c r="L19" cm="1">
        <f t="array" ref="L19">_xlfn.IFS(staff[[#This Row],[Rating]]="Exceptional", 5, staff[[#This Row],[Rating]]="Above average", 4, staff[[#This Row],[Rating]]="Average", 3, staff[[#This Row],[Rating]]="Poor", 2, staff[[#This Row],[Rating]]="Very poor", 1)</f>
        <v>4</v>
      </c>
      <c r="M19">
        <f>_xlfn.XLOOKUP(staff[[#This Row],[Rating]],'Lookup Array'!$A$1:$A$5, 'Lookup Array'!$B$1:$B$5, "No Rating")</f>
        <v>4</v>
      </c>
    </row>
    <row r="20" spans="2:22" x14ac:dyDescent="0.25">
      <c r="B20" t="s">
        <v>108</v>
      </c>
      <c r="C20" t="s">
        <v>8</v>
      </c>
      <c r="D20">
        <v>32</v>
      </c>
      <c r="E20" t="s">
        <v>16</v>
      </c>
      <c r="F20" s="5">
        <v>44400</v>
      </c>
      <c r="G20" t="s">
        <v>56</v>
      </c>
      <c r="H20">
        <v>45510</v>
      </c>
      <c r="I20" t="s">
        <v>204</v>
      </c>
      <c r="J20" s="7">
        <f ca="1">(TODAY() - staff[[#This Row],[Date Joined]]) / 365</f>
        <v>4.3835616438356162</v>
      </c>
      <c r="K20" s="19">
        <f ca="1">ROUNDUP(IF(staff[[#This Row],[Tenure]]&gt;2, 3%, 2%) * staff[[#This Row],[Salary]],0)</f>
        <v>1366</v>
      </c>
      <c r="L20" cm="1">
        <f t="array" ref="L20">_xlfn.IFS(staff[[#This Row],[Rating]]="Exceptional", 5, staff[[#This Row],[Rating]]="Above average", 4, staff[[#This Row],[Rating]]="Average", 3, staff[[#This Row],[Rating]]="Poor", 2, staff[[#This Row],[Rating]]="Very poor", 1)</f>
        <v>3</v>
      </c>
      <c r="M20">
        <f>_xlfn.XLOOKUP(staff[[#This Row],[Rating]],'Lookup Array'!$A$1:$A$5, 'Lookup Array'!$B$1:$B$5, "No Rating")</f>
        <v>3</v>
      </c>
    </row>
    <row r="21" spans="2:22" x14ac:dyDescent="0.25">
      <c r="B21" t="s">
        <v>201</v>
      </c>
      <c r="C21" t="s">
        <v>8</v>
      </c>
      <c r="D21">
        <v>32</v>
      </c>
      <c r="E21" t="s">
        <v>16</v>
      </c>
      <c r="F21" s="5">
        <v>44339</v>
      </c>
      <c r="G21" t="s">
        <v>56</v>
      </c>
      <c r="H21">
        <v>45510</v>
      </c>
      <c r="I21" t="s">
        <v>206</v>
      </c>
      <c r="J21" s="7">
        <f ca="1">(TODAY() - staff[[#This Row],[Date Joined]]) / 365</f>
        <v>4.5506849315068489</v>
      </c>
      <c r="K21" s="19">
        <f ca="1">ROUNDUP(IF(staff[[#This Row],[Tenure]]&gt;2, 3%, 2%) * staff[[#This Row],[Salary]],0)</f>
        <v>1366</v>
      </c>
      <c r="L21" cm="1">
        <f t="array" ref="L21">_xlfn.IFS(staff[[#This Row],[Rating]]="Exceptional", 5, staff[[#This Row],[Rating]]="Above average", 4, staff[[#This Row],[Rating]]="Average", 3, staff[[#This Row],[Rating]]="Poor", 2, staff[[#This Row],[Rating]]="Very poor", 1)</f>
        <v>3</v>
      </c>
      <c r="M21">
        <f>_xlfn.XLOOKUP(staff[[#This Row],[Rating]],'Lookup Array'!$A$1:$A$5, 'Lookup Array'!$B$1:$B$5, "No Rating")</f>
        <v>3</v>
      </c>
      <c r="P21" s="8" t="s">
        <v>219</v>
      </c>
      <c r="Q21" s="14" t="str" cm="1">
        <f t="array" aca="1" ref="Q21:Q28" ca="1">TRANSPOSE(_xlfn.XLOOKUP(O16,staff[Name], staff[[Gender]:[Tenure]]))</f>
        <v>Female</v>
      </c>
    </row>
    <row r="22" spans="2:22" x14ac:dyDescent="0.25">
      <c r="B22" t="s">
        <v>59</v>
      </c>
      <c r="C22" t="s">
        <v>15</v>
      </c>
      <c r="D22">
        <v>26</v>
      </c>
      <c r="E22" t="s">
        <v>16</v>
      </c>
      <c r="F22" s="5">
        <v>44225</v>
      </c>
      <c r="G22" t="s">
        <v>9</v>
      </c>
      <c r="H22">
        <v>47360</v>
      </c>
      <c r="I22" t="s">
        <v>204</v>
      </c>
      <c r="J22" s="7">
        <f ca="1">(TODAY() - staff[[#This Row],[Date Joined]]) / 365</f>
        <v>4.8630136986301373</v>
      </c>
      <c r="K22" s="19">
        <f ca="1">ROUNDUP(IF(staff[[#This Row],[Tenure]]&gt;2, 3%, 2%) * staff[[#This Row],[Salary]],0)</f>
        <v>1421</v>
      </c>
      <c r="L22" cm="1">
        <f t="array" ref="L22">_xlfn.IFS(staff[[#This Row],[Rating]]="Exceptional", 5, staff[[#This Row],[Rating]]="Above average", 4, staff[[#This Row],[Rating]]="Average", 3, staff[[#This Row],[Rating]]="Poor", 2, staff[[#This Row],[Rating]]="Very poor", 1)</f>
        <v>3</v>
      </c>
      <c r="M22">
        <f>_xlfn.XLOOKUP(staff[[#This Row],[Rating]],'Lookup Array'!$A$1:$A$5, 'Lookup Array'!$B$1:$B$5, "No Rating")</f>
        <v>3</v>
      </c>
      <c r="P22" s="8" t="s">
        <v>220</v>
      </c>
      <c r="Q22" s="14">
        <f ca="1"/>
        <v>42</v>
      </c>
    </row>
    <row r="23" spans="2:22" x14ac:dyDescent="0.25">
      <c r="B23" t="s">
        <v>151</v>
      </c>
      <c r="C23" t="s">
        <v>15</v>
      </c>
      <c r="D23">
        <v>26</v>
      </c>
      <c r="E23" t="s">
        <v>16</v>
      </c>
      <c r="F23" s="5">
        <v>44164</v>
      </c>
      <c r="G23" t="s">
        <v>9</v>
      </c>
      <c r="H23">
        <v>47360</v>
      </c>
      <c r="I23" t="s">
        <v>206</v>
      </c>
      <c r="J23" s="7">
        <f ca="1">(TODAY() - staff[[#This Row],[Date Joined]]) / 365</f>
        <v>5.0301369863013701</v>
      </c>
      <c r="K23" s="19">
        <f ca="1">ROUNDUP(IF(staff[[#This Row],[Tenure]]&gt;2, 3%, 2%) * staff[[#This Row],[Salary]],0)</f>
        <v>1421</v>
      </c>
      <c r="L23" cm="1">
        <f t="array" ref="L23">_xlfn.IFS(staff[[#This Row],[Rating]]="Exceptional", 5, staff[[#This Row],[Rating]]="Above average", 4, staff[[#This Row],[Rating]]="Average", 3, staff[[#This Row],[Rating]]="Poor", 2, staff[[#This Row],[Rating]]="Very poor", 1)</f>
        <v>3</v>
      </c>
      <c r="M23">
        <f>_xlfn.XLOOKUP(staff[[#This Row],[Rating]],'Lookup Array'!$A$1:$A$5, 'Lookup Array'!$B$1:$B$5, "No Rating")</f>
        <v>3</v>
      </c>
      <c r="P23" s="8" t="s">
        <v>221</v>
      </c>
      <c r="Q23" s="14" t="str">
        <f ca="1"/>
        <v>Exceptional</v>
      </c>
    </row>
    <row r="24" spans="2:22" x14ac:dyDescent="0.25">
      <c r="B24" t="s">
        <v>29</v>
      </c>
      <c r="C24" t="s">
        <v>15</v>
      </c>
      <c r="D24">
        <v>28</v>
      </c>
      <c r="E24" t="s">
        <v>13</v>
      </c>
      <c r="F24" s="5">
        <v>44041</v>
      </c>
      <c r="G24" t="s">
        <v>21</v>
      </c>
      <c r="H24">
        <v>48170</v>
      </c>
      <c r="I24" t="s">
        <v>204</v>
      </c>
      <c r="J24" s="7">
        <f ca="1">(TODAY() - staff[[#This Row],[Date Joined]]) / 365</f>
        <v>5.3671232876712329</v>
      </c>
      <c r="K24" s="19">
        <f ca="1">ROUNDUP(IF(staff[[#This Row],[Tenure]]&gt;2, 3%, 2%) * staff[[#This Row],[Salary]],0)</f>
        <v>1446</v>
      </c>
      <c r="L24" cm="1">
        <f t="array" ref="L24">_xlfn.IFS(staff[[#This Row],[Rating]]="Exceptional", 5, staff[[#This Row],[Rating]]="Above average", 4, staff[[#This Row],[Rating]]="Average", 3, staff[[#This Row],[Rating]]="Poor", 2, staff[[#This Row],[Rating]]="Very poor", 1)</f>
        <v>4</v>
      </c>
      <c r="M24">
        <f>_xlfn.XLOOKUP(staff[[#This Row],[Rating]],'Lookup Array'!$A$1:$A$5, 'Lookup Array'!$B$1:$B$5, "No Rating")</f>
        <v>4</v>
      </c>
      <c r="P24" s="8" t="s">
        <v>4</v>
      </c>
      <c r="Q24" s="15">
        <f ca="1"/>
        <v>44779</v>
      </c>
    </row>
    <row r="25" spans="2:22" x14ac:dyDescent="0.25">
      <c r="B25" t="s">
        <v>123</v>
      </c>
      <c r="C25" t="s">
        <v>15</v>
      </c>
      <c r="D25">
        <v>28</v>
      </c>
      <c r="E25" t="s">
        <v>13</v>
      </c>
      <c r="F25" s="5">
        <v>43980</v>
      </c>
      <c r="G25" t="s">
        <v>21</v>
      </c>
      <c r="H25">
        <v>48170</v>
      </c>
      <c r="I25" t="s">
        <v>206</v>
      </c>
      <c r="J25" s="7">
        <f ca="1">(TODAY() - staff[[#This Row],[Date Joined]]) / 365</f>
        <v>5.5342465753424657</v>
      </c>
      <c r="K25" s="19">
        <f ca="1">ROUNDUP(IF(staff[[#This Row],[Tenure]]&gt;2, 3%, 2%) * staff[[#This Row],[Salary]],0)</f>
        <v>1446</v>
      </c>
      <c r="L25" cm="1">
        <f t="array" ref="L25">_xlfn.IFS(staff[[#This Row],[Rating]]="Exceptional", 5, staff[[#This Row],[Rating]]="Above average", 4, staff[[#This Row],[Rating]]="Average", 3, staff[[#This Row],[Rating]]="Poor", 2, staff[[#This Row],[Rating]]="Very poor", 1)</f>
        <v>4</v>
      </c>
      <c r="M25">
        <f>_xlfn.XLOOKUP(staff[[#This Row],[Rating]],'Lookup Array'!$A$1:$A$5, 'Lookup Array'!$B$1:$B$5, "No Rating")</f>
        <v>4</v>
      </c>
      <c r="P25" s="8" t="s">
        <v>222</v>
      </c>
      <c r="Q25" s="14" t="str">
        <f ca="1"/>
        <v>Procurement</v>
      </c>
    </row>
    <row r="26" spans="2:22" x14ac:dyDescent="0.25">
      <c r="B26" t="s">
        <v>51</v>
      </c>
      <c r="C26" t="s">
        <v>15</v>
      </c>
      <c r="D26">
        <v>33</v>
      </c>
      <c r="E26" t="s">
        <v>13</v>
      </c>
      <c r="F26" s="5">
        <v>44701</v>
      </c>
      <c r="G26" t="s">
        <v>9</v>
      </c>
      <c r="H26">
        <v>48530</v>
      </c>
      <c r="I26" t="s">
        <v>204</v>
      </c>
      <c r="J26" s="7">
        <f ca="1">(TODAY() - staff[[#This Row],[Date Joined]]) / 365</f>
        <v>3.558904109589041</v>
      </c>
      <c r="K26" s="19">
        <f ca="1">ROUNDUP(IF(staff[[#This Row],[Tenure]]&gt;2, 3%, 2%) * staff[[#This Row],[Salary]],0)</f>
        <v>1456</v>
      </c>
      <c r="L26" cm="1">
        <f t="array" ref="L26">_xlfn.IFS(staff[[#This Row],[Rating]]="Exceptional", 5, staff[[#This Row],[Rating]]="Above average", 4, staff[[#This Row],[Rating]]="Average", 3, staff[[#This Row],[Rating]]="Poor", 2, staff[[#This Row],[Rating]]="Very poor", 1)</f>
        <v>4</v>
      </c>
      <c r="M26">
        <f>_xlfn.XLOOKUP(staff[[#This Row],[Rating]],'Lookup Array'!$A$1:$A$5, 'Lookup Array'!$B$1:$B$5, "No Rating")</f>
        <v>4</v>
      </c>
      <c r="P26" s="8" t="s">
        <v>223</v>
      </c>
      <c r="Q26" s="14">
        <f ca="1"/>
        <v>75000</v>
      </c>
    </row>
    <row r="27" spans="2:22" x14ac:dyDescent="0.25">
      <c r="B27" t="s">
        <v>144</v>
      </c>
      <c r="C27" t="s">
        <v>15</v>
      </c>
      <c r="D27">
        <v>33</v>
      </c>
      <c r="E27" t="s">
        <v>13</v>
      </c>
      <c r="F27" s="5">
        <v>44640</v>
      </c>
      <c r="G27" t="s">
        <v>9</v>
      </c>
      <c r="H27">
        <v>48530</v>
      </c>
      <c r="I27" t="s">
        <v>206</v>
      </c>
      <c r="J27" s="7">
        <f ca="1">(TODAY() - staff[[#This Row],[Date Joined]]) / 365</f>
        <v>3.7260273972602738</v>
      </c>
      <c r="K27" s="19">
        <f ca="1">ROUNDUP(IF(staff[[#This Row],[Tenure]]&gt;2, 3%, 2%) * staff[[#This Row],[Salary]],0)</f>
        <v>1456</v>
      </c>
      <c r="L27" cm="1">
        <f t="array" ref="L27">_xlfn.IFS(staff[[#This Row],[Rating]]="Exceptional", 5, staff[[#This Row],[Rating]]="Above average", 4, staff[[#This Row],[Rating]]="Average", 3, staff[[#This Row],[Rating]]="Poor", 2, staff[[#This Row],[Rating]]="Very poor", 1)</f>
        <v>4</v>
      </c>
      <c r="M27">
        <f>_xlfn.XLOOKUP(staff[[#This Row],[Rating]],'Lookup Array'!$A$1:$A$5, 'Lookup Array'!$B$1:$B$5, "No Rating")</f>
        <v>4</v>
      </c>
      <c r="P27" s="8" t="s">
        <v>224</v>
      </c>
      <c r="Q27" s="14" t="str">
        <f ca="1"/>
        <v>NZ</v>
      </c>
    </row>
    <row r="28" spans="2:22" x14ac:dyDescent="0.25">
      <c r="B28" t="s">
        <v>14</v>
      </c>
      <c r="C28" t="s">
        <v>15</v>
      </c>
      <c r="D28">
        <v>31</v>
      </c>
      <c r="E28" t="s">
        <v>16</v>
      </c>
      <c r="F28" s="5">
        <v>44511</v>
      </c>
      <c r="G28" t="s">
        <v>12</v>
      </c>
      <c r="H28">
        <v>48950</v>
      </c>
      <c r="I28" t="s">
        <v>204</v>
      </c>
      <c r="J28" s="7">
        <f ca="1">(TODAY() - staff[[#This Row],[Date Joined]]) / 365</f>
        <v>4.0794520547945208</v>
      </c>
      <c r="K28" s="19">
        <f ca="1">ROUNDUP(IF(staff[[#This Row],[Tenure]]&gt;2, 3%, 2%) * staff[[#This Row],[Salary]],0)</f>
        <v>1469</v>
      </c>
      <c r="L28" cm="1">
        <f t="array" ref="L28">_xlfn.IFS(staff[[#This Row],[Rating]]="Exceptional", 5, staff[[#This Row],[Rating]]="Above average", 4, staff[[#This Row],[Rating]]="Average", 3, staff[[#This Row],[Rating]]="Poor", 2, staff[[#This Row],[Rating]]="Very poor", 1)</f>
        <v>3</v>
      </c>
      <c r="M28">
        <f>_xlfn.XLOOKUP(staff[[#This Row],[Rating]],'Lookup Array'!$A$1:$A$5, 'Lookup Array'!$B$1:$B$5, "No Rating")</f>
        <v>3</v>
      </c>
      <c r="P28" s="8" t="s">
        <v>225</v>
      </c>
      <c r="Q28" s="14">
        <f ca="1"/>
        <v>3.3452054794520549</v>
      </c>
    </row>
    <row r="29" spans="2:22" x14ac:dyDescent="0.25">
      <c r="B29" t="s">
        <v>113</v>
      </c>
      <c r="C29" t="s">
        <v>15</v>
      </c>
      <c r="D29">
        <v>31</v>
      </c>
      <c r="E29" t="s">
        <v>16</v>
      </c>
      <c r="F29" s="5">
        <v>44450</v>
      </c>
      <c r="G29" t="s">
        <v>12</v>
      </c>
      <c r="H29">
        <v>48950</v>
      </c>
      <c r="I29" t="s">
        <v>206</v>
      </c>
      <c r="J29" s="7">
        <f ca="1">(TODAY() - staff[[#This Row],[Date Joined]]) / 365</f>
        <v>4.2465753424657535</v>
      </c>
      <c r="K29" s="19">
        <f ca="1">ROUNDUP(IF(staff[[#This Row],[Tenure]]&gt;2, 3%, 2%) * staff[[#This Row],[Salary]],0)</f>
        <v>1469</v>
      </c>
      <c r="L29" cm="1">
        <f t="array" ref="L29">_xlfn.IFS(staff[[#This Row],[Rating]]="Exceptional", 5, staff[[#This Row],[Rating]]="Above average", 4, staff[[#This Row],[Rating]]="Average", 3, staff[[#This Row],[Rating]]="Poor", 2, staff[[#This Row],[Rating]]="Very poor", 1)</f>
        <v>3</v>
      </c>
      <c r="M29">
        <f>_xlfn.XLOOKUP(staff[[#This Row],[Rating]],'Lookup Array'!$A$1:$A$5, 'Lookup Array'!$B$1:$B$5, "No Rating")</f>
        <v>3</v>
      </c>
    </row>
    <row r="30" spans="2:22" x14ac:dyDescent="0.25">
      <c r="B30" t="s">
        <v>53</v>
      </c>
      <c r="C30" t="s">
        <v>15</v>
      </c>
      <c r="D30">
        <v>27</v>
      </c>
      <c r="E30" t="s">
        <v>16</v>
      </c>
      <c r="F30" s="5">
        <v>44567</v>
      </c>
      <c r="G30" t="s">
        <v>21</v>
      </c>
      <c r="H30">
        <v>48980</v>
      </c>
      <c r="I30" t="s">
        <v>204</v>
      </c>
      <c r="J30" s="7">
        <f ca="1">(TODAY() - staff[[#This Row],[Date Joined]]) / 365</f>
        <v>3.9260273972602739</v>
      </c>
      <c r="K30" s="19">
        <f ca="1">ROUNDUP(IF(staff[[#This Row],[Tenure]]&gt;2, 3%, 2%) * staff[[#This Row],[Salary]],0)</f>
        <v>1470</v>
      </c>
      <c r="L30" cm="1">
        <f t="array" ref="L30">_xlfn.IFS(staff[[#This Row],[Rating]]="Exceptional", 5, staff[[#This Row],[Rating]]="Above average", 4, staff[[#This Row],[Rating]]="Average", 3, staff[[#This Row],[Rating]]="Poor", 2, staff[[#This Row],[Rating]]="Very poor", 1)</f>
        <v>3</v>
      </c>
      <c r="M30">
        <f>_xlfn.XLOOKUP(staff[[#This Row],[Rating]],'Lookup Array'!$A$1:$A$5, 'Lookup Array'!$B$1:$B$5, "No Rating")</f>
        <v>3</v>
      </c>
    </row>
    <row r="31" spans="2:22" x14ac:dyDescent="0.25">
      <c r="B31" t="s">
        <v>146</v>
      </c>
      <c r="C31" t="s">
        <v>15</v>
      </c>
      <c r="D31">
        <v>27</v>
      </c>
      <c r="E31" t="s">
        <v>16</v>
      </c>
      <c r="F31" s="5">
        <v>44506</v>
      </c>
      <c r="G31" t="s">
        <v>21</v>
      </c>
      <c r="H31">
        <v>48980</v>
      </c>
      <c r="I31" t="s">
        <v>206</v>
      </c>
      <c r="J31" s="7">
        <f ca="1">(TODAY() - staff[[#This Row],[Date Joined]]) / 365</f>
        <v>4.0931506849315067</v>
      </c>
      <c r="K31" s="19">
        <f ca="1">ROUNDUP(IF(staff[[#This Row],[Tenure]]&gt;2, 3%, 2%) * staff[[#This Row],[Salary]],0)</f>
        <v>1470</v>
      </c>
      <c r="L31" cm="1">
        <f t="array" ref="L31">_xlfn.IFS(staff[[#This Row],[Rating]]="Exceptional", 5, staff[[#This Row],[Rating]]="Above average", 4, staff[[#This Row],[Rating]]="Average", 3, staff[[#This Row],[Rating]]="Poor", 2, staff[[#This Row],[Rating]]="Very poor", 1)</f>
        <v>3</v>
      </c>
      <c r="M31">
        <f>_xlfn.XLOOKUP(staff[[#This Row],[Rating]],'Lookup Array'!$A$1:$A$5, 'Lookup Array'!$B$1:$B$5, "No Rating")</f>
        <v>3</v>
      </c>
      <c r="O31" t="s">
        <v>236</v>
      </c>
    </row>
    <row r="32" spans="2:22" x14ac:dyDescent="0.25">
      <c r="B32" t="s">
        <v>73</v>
      </c>
      <c r="C32" t="s">
        <v>8</v>
      </c>
      <c r="D32">
        <v>34</v>
      </c>
      <c r="E32" t="s">
        <v>24</v>
      </c>
      <c r="F32" s="5">
        <v>44721</v>
      </c>
      <c r="G32" t="s">
        <v>19</v>
      </c>
      <c r="H32">
        <v>49630</v>
      </c>
      <c r="I32" t="s">
        <v>204</v>
      </c>
      <c r="J32" s="7">
        <f ca="1">(TODAY() - staff[[#This Row],[Date Joined]]) / 365</f>
        <v>3.504109589041096</v>
      </c>
      <c r="K32" s="19">
        <f ca="1">ROUNDUP(IF(staff[[#This Row],[Tenure]]&gt;2, 3%, 2%) * staff[[#This Row],[Salary]],0)</f>
        <v>1489</v>
      </c>
      <c r="L32" cm="1">
        <f t="array" ref="L32">_xlfn.IFS(staff[[#This Row],[Rating]]="Exceptional", 5, staff[[#This Row],[Rating]]="Above average", 4, staff[[#This Row],[Rating]]="Average", 3, staff[[#This Row],[Rating]]="Poor", 2, staff[[#This Row],[Rating]]="Very poor", 1)</f>
        <v>2</v>
      </c>
      <c r="M32">
        <f>_xlfn.XLOOKUP(staff[[#This Row],[Rating]],'Lookup Array'!$A$1:$A$5, 'Lookup Array'!$B$1:$B$5, "No Rating")</f>
        <v>2</v>
      </c>
      <c r="O32" t="s">
        <v>237</v>
      </c>
    </row>
    <row r="33" spans="2:13" x14ac:dyDescent="0.25">
      <c r="B33" t="s">
        <v>165</v>
      </c>
      <c r="C33" t="s">
        <v>8</v>
      </c>
      <c r="D33">
        <v>34</v>
      </c>
      <c r="E33" t="s">
        <v>24</v>
      </c>
      <c r="F33" s="5">
        <v>44660</v>
      </c>
      <c r="G33" t="s">
        <v>19</v>
      </c>
      <c r="H33">
        <v>49630</v>
      </c>
      <c r="I33" t="s">
        <v>206</v>
      </c>
      <c r="J33" s="7">
        <f ca="1">(TODAY() - staff[[#This Row],[Date Joined]]) / 365</f>
        <v>3.6712328767123288</v>
      </c>
      <c r="K33" s="19">
        <f ca="1">ROUNDUP(IF(staff[[#This Row],[Tenure]]&gt;2, 3%, 2%) * staff[[#This Row],[Salary]],0)</f>
        <v>1489</v>
      </c>
      <c r="L33" cm="1">
        <f t="array" ref="L33">_xlfn.IFS(staff[[#This Row],[Rating]]="Exceptional", 5, staff[[#This Row],[Rating]]="Above average", 4, staff[[#This Row],[Rating]]="Average", 3, staff[[#This Row],[Rating]]="Poor", 2, staff[[#This Row],[Rating]]="Very poor", 1)</f>
        <v>2</v>
      </c>
      <c r="M33">
        <f>_xlfn.XLOOKUP(staff[[#This Row],[Rating]],'Lookup Array'!$A$1:$A$5, 'Lookup Array'!$B$1:$B$5, "No Rating")</f>
        <v>2</v>
      </c>
    </row>
    <row r="34" spans="2:13" x14ac:dyDescent="0.25">
      <c r="B34" t="s">
        <v>63</v>
      </c>
      <c r="C34" t="s">
        <v>15</v>
      </c>
      <c r="D34">
        <v>24</v>
      </c>
      <c r="E34" t="s">
        <v>24</v>
      </c>
      <c r="F34" s="5">
        <v>44436</v>
      </c>
      <c r="G34" t="s">
        <v>21</v>
      </c>
      <c r="H34">
        <v>52610</v>
      </c>
      <c r="I34" t="s">
        <v>204</v>
      </c>
      <c r="J34" s="7">
        <f ca="1">(TODAY() - staff[[#This Row],[Date Joined]]) / 365</f>
        <v>4.2849315068493148</v>
      </c>
      <c r="K34" s="19">
        <f ca="1">ROUNDUP(IF(staff[[#This Row],[Tenure]]&gt;2, 3%, 2%) * staff[[#This Row],[Salary]],0)</f>
        <v>1579</v>
      </c>
      <c r="L34" cm="1">
        <f t="array" ref="L34">_xlfn.IFS(staff[[#This Row],[Rating]]="Exceptional", 5, staff[[#This Row],[Rating]]="Above average", 4, staff[[#This Row],[Rating]]="Average", 3, staff[[#This Row],[Rating]]="Poor", 2, staff[[#This Row],[Rating]]="Very poor", 1)</f>
        <v>2</v>
      </c>
      <c r="M34">
        <f>_xlfn.XLOOKUP(staff[[#This Row],[Rating]],'Lookup Array'!$A$1:$A$5, 'Lookup Array'!$B$1:$B$5, "No Rating")</f>
        <v>2</v>
      </c>
    </row>
    <row r="35" spans="2:13" x14ac:dyDescent="0.25">
      <c r="B35" t="s">
        <v>155</v>
      </c>
      <c r="C35" t="s">
        <v>15</v>
      </c>
      <c r="D35">
        <v>24</v>
      </c>
      <c r="E35" t="s">
        <v>24</v>
      </c>
      <c r="F35" s="5">
        <v>44375</v>
      </c>
      <c r="G35" t="s">
        <v>21</v>
      </c>
      <c r="H35">
        <v>52610</v>
      </c>
      <c r="I35" t="s">
        <v>206</v>
      </c>
      <c r="J35" s="7">
        <f ca="1">(TODAY() - staff[[#This Row],[Date Joined]]) / 365</f>
        <v>4.4520547945205475</v>
      </c>
      <c r="K35" s="19">
        <f ca="1">ROUNDUP(IF(staff[[#This Row],[Tenure]]&gt;2, 3%, 2%) * staff[[#This Row],[Salary]],0)</f>
        <v>1579</v>
      </c>
      <c r="L35" cm="1">
        <f t="array" ref="L35">_xlfn.IFS(staff[[#This Row],[Rating]]="Exceptional", 5, staff[[#This Row],[Rating]]="Above average", 4, staff[[#This Row],[Rating]]="Average", 3, staff[[#This Row],[Rating]]="Poor", 2, staff[[#This Row],[Rating]]="Very poor", 1)</f>
        <v>2</v>
      </c>
      <c r="M35">
        <f>_xlfn.XLOOKUP(staff[[#This Row],[Rating]],'Lookup Array'!$A$1:$A$5, 'Lookup Array'!$B$1:$B$5, "No Rating")</f>
        <v>2</v>
      </c>
    </row>
    <row r="36" spans="2:13" x14ac:dyDescent="0.25">
      <c r="B36" t="s">
        <v>75</v>
      </c>
      <c r="C36" t="s">
        <v>8</v>
      </c>
      <c r="D36">
        <v>28</v>
      </c>
      <c r="E36" t="s">
        <v>16</v>
      </c>
      <c r="F36" s="5">
        <v>44357</v>
      </c>
      <c r="G36" t="s">
        <v>19</v>
      </c>
      <c r="H36">
        <v>53240</v>
      </c>
      <c r="I36" t="s">
        <v>204</v>
      </c>
      <c r="J36" s="7">
        <f ca="1">(TODAY() - staff[[#This Row],[Date Joined]]) / 365</f>
        <v>4.5013698630136982</v>
      </c>
      <c r="K36" s="19">
        <f ca="1">ROUNDUP(IF(staff[[#This Row],[Tenure]]&gt;2, 3%, 2%) * staff[[#This Row],[Salary]],0)</f>
        <v>1598</v>
      </c>
      <c r="L36" cm="1">
        <f t="array" ref="L36">_xlfn.IFS(staff[[#This Row],[Rating]]="Exceptional", 5, staff[[#This Row],[Rating]]="Above average", 4, staff[[#This Row],[Rating]]="Average", 3, staff[[#This Row],[Rating]]="Poor", 2, staff[[#This Row],[Rating]]="Very poor", 1)</f>
        <v>3</v>
      </c>
      <c r="M36">
        <f>_xlfn.XLOOKUP(staff[[#This Row],[Rating]],'Lookup Array'!$A$1:$A$5, 'Lookup Array'!$B$1:$B$5, "No Rating")</f>
        <v>3</v>
      </c>
    </row>
    <row r="37" spans="2:13" x14ac:dyDescent="0.25">
      <c r="B37" t="s">
        <v>167</v>
      </c>
      <c r="C37" t="s">
        <v>8</v>
      </c>
      <c r="D37">
        <v>28</v>
      </c>
      <c r="E37" t="s">
        <v>16</v>
      </c>
      <c r="F37" s="5">
        <v>44296</v>
      </c>
      <c r="G37" t="s">
        <v>19</v>
      </c>
      <c r="H37">
        <v>53240</v>
      </c>
      <c r="I37" t="s">
        <v>206</v>
      </c>
      <c r="J37" s="7">
        <f ca="1">(TODAY() - staff[[#This Row],[Date Joined]]) / 365</f>
        <v>4.6684931506849319</v>
      </c>
      <c r="K37" s="19">
        <f ca="1">ROUNDUP(IF(staff[[#This Row],[Tenure]]&gt;2, 3%, 2%) * staff[[#This Row],[Salary]],0)</f>
        <v>1598</v>
      </c>
      <c r="L37" cm="1">
        <f t="array" ref="L37">_xlfn.IFS(staff[[#This Row],[Rating]]="Exceptional", 5, staff[[#This Row],[Rating]]="Above average", 4, staff[[#This Row],[Rating]]="Average", 3, staff[[#This Row],[Rating]]="Poor", 2, staff[[#This Row],[Rating]]="Very poor", 1)</f>
        <v>3</v>
      </c>
      <c r="M37">
        <f>_xlfn.XLOOKUP(staff[[#This Row],[Rating]],'Lookup Array'!$A$1:$A$5, 'Lookup Array'!$B$1:$B$5, "No Rating")</f>
        <v>3</v>
      </c>
    </row>
    <row r="38" spans="2:13" x14ac:dyDescent="0.25">
      <c r="B38" t="s">
        <v>65</v>
      </c>
      <c r="C38" t="s">
        <v>15</v>
      </c>
      <c r="D38">
        <v>32</v>
      </c>
      <c r="E38" t="s">
        <v>16</v>
      </c>
      <c r="F38" s="5">
        <v>44465</v>
      </c>
      <c r="G38" t="s">
        <v>19</v>
      </c>
      <c r="H38">
        <v>53540</v>
      </c>
      <c r="I38" t="s">
        <v>204</v>
      </c>
      <c r="J38" s="7">
        <f ca="1">(TODAY() - staff[[#This Row],[Date Joined]]) / 365</f>
        <v>4.2054794520547949</v>
      </c>
      <c r="K38" s="19">
        <f ca="1">ROUNDUP(IF(staff[[#This Row],[Tenure]]&gt;2, 3%, 2%) * staff[[#This Row],[Salary]],0)</f>
        <v>1607</v>
      </c>
      <c r="L38" cm="1">
        <f t="array" ref="L38">_xlfn.IFS(staff[[#This Row],[Rating]]="Exceptional", 5, staff[[#This Row],[Rating]]="Above average", 4, staff[[#This Row],[Rating]]="Average", 3, staff[[#This Row],[Rating]]="Poor", 2, staff[[#This Row],[Rating]]="Very poor", 1)</f>
        <v>3</v>
      </c>
      <c r="M38">
        <f>_xlfn.XLOOKUP(staff[[#This Row],[Rating]],'Lookup Array'!$A$1:$A$5, 'Lookup Array'!$B$1:$B$5, "No Rating")</f>
        <v>3</v>
      </c>
    </row>
    <row r="39" spans="2:13" x14ac:dyDescent="0.25">
      <c r="B39" t="s">
        <v>46</v>
      </c>
      <c r="C39" t="s">
        <v>15</v>
      </c>
      <c r="D39">
        <v>26</v>
      </c>
      <c r="E39" t="s">
        <v>16</v>
      </c>
      <c r="F39" s="5">
        <v>44411</v>
      </c>
      <c r="G39" t="s">
        <v>9</v>
      </c>
      <c r="H39">
        <v>53540</v>
      </c>
      <c r="I39" t="s">
        <v>204</v>
      </c>
      <c r="J39" s="7">
        <f ca="1">(TODAY() - staff[[#This Row],[Date Joined]]) / 365</f>
        <v>4.353424657534247</v>
      </c>
      <c r="K39" s="19">
        <f ca="1">ROUNDUP(IF(staff[[#This Row],[Tenure]]&gt;2, 3%, 2%) * staff[[#This Row],[Salary]],0)</f>
        <v>1607</v>
      </c>
      <c r="L39" cm="1">
        <f t="array" ref="L39">_xlfn.IFS(staff[[#This Row],[Rating]]="Exceptional", 5, staff[[#This Row],[Rating]]="Above average", 4, staff[[#This Row],[Rating]]="Average", 3, staff[[#This Row],[Rating]]="Poor", 2, staff[[#This Row],[Rating]]="Very poor", 1)</f>
        <v>3</v>
      </c>
      <c r="M39">
        <f>_xlfn.XLOOKUP(staff[[#This Row],[Rating]],'Lookup Array'!$A$1:$A$5, 'Lookup Array'!$B$1:$B$5, "No Rating")</f>
        <v>3</v>
      </c>
    </row>
    <row r="40" spans="2:13" x14ac:dyDescent="0.25">
      <c r="B40" t="s">
        <v>157</v>
      </c>
      <c r="C40" t="s">
        <v>15</v>
      </c>
      <c r="D40">
        <v>32</v>
      </c>
      <c r="E40" t="s">
        <v>16</v>
      </c>
      <c r="F40" s="5">
        <v>44403</v>
      </c>
      <c r="G40" t="s">
        <v>19</v>
      </c>
      <c r="H40">
        <v>53540</v>
      </c>
      <c r="I40" t="s">
        <v>206</v>
      </c>
      <c r="J40" s="7">
        <f ca="1">(TODAY() - staff[[#This Row],[Date Joined]]) / 365</f>
        <v>4.375342465753425</v>
      </c>
      <c r="K40" s="19">
        <f ca="1">ROUNDUP(IF(staff[[#This Row],[Tenure]]&gt;2, 3%, 2%) * staff[[#This Row],[Salary]],0)</f>
        <v>1607</v>
      </c>
      <c r="L40" cm="1">
        <f t="array" ref="L40">_xlfn.IFS(staff[[#This Row],[Rating]]="Exceptional", 5, staff[[#This Row],[Rating]]="Above average", 4, staff[[#This Row],[Rating]]="Average", 3, staff[[#This Row],[Rating]]="Poor", 2, staff[[#This Row],[Rating]]="Very poor", 1)</f>
        <v>3</v>
      </c>
      <c r="M40">
        <f>_xlfn.XLOOKUP(staff[[#This Row],[Rating]],'Lookup Array'!$A$1:$A$5, 'Lookup Array'!$B$1:$B$5, "No Rating")</f>
        <v>3</v>
      </c>
    </row>
    <row r="41" spans="2:13" x14ac:dyDescent="0.25">
      <c r="B41" t="s">
        <v>139</v>
      </c>
      <c r="C41" t="s">
        <v>15</v>
      </c>
      <c r="D41">
        <v>26</v>
      </c>
      <c r="E41" t="s">
        <v>16</v>
      </c>
      <c r="F41" s="5">
        <v>44350</v>
      </c>
      <c r="G41" t="s">
        <v>9</v>
      </c>
      <c r="H41">
        <v>53540</v>
      </c>
      <c r="I41" t="s">
        <v>206</v>
      </c>
      <c r="J41" s="7">
        <f ca="1">(TODAY() - staff[[#This Row],[Date Joined]]) / 365</f>
        <v>4.5205479452054798</v>
      </c>
      <c r="K41" s="19">
        <f ca="1">ROUNDUP(IF(staff[[#This Row],[Tenure]]&gt;2, 3%, 2%) * staff[[#This Row],[Salary]],0)</f>
        <v>1607</v>
      </c>
      <c r="L41" cm="1">
        <f t="array" ref="L41">_xlfn.IFS(staff[[#This Row],[Rating]]="Exceptional", 5, staff[[#This Row],[Rating]]="Above average", 4, staff[[#This Row],[Rating]]="Average", 3, staff[[#This Row],[Rating]]="Poor", 2, staff[[#This Row],[Rating]]="Very poor", 1)</f>
        <v>3</v>
      </c>
      <c r="M41">
        <f>_xlfn.XLOOKUP(staff[[#This Row],[Rating]],'Lookup Array'!$A$1:$A$5, 'Lookup Array'!$B$1:$B$5, "No Rating")</f>
        <v>3</v>
      </c>
    </row>
    <row r="42" spans="2:13" x14ac:dyDescent="0.25">
      <c r="B42" t="s">
        <v>82</v>
      </c>
      <c r="C42" t="s">
        <v>15</v>
      </c>
      <c r="D42">
        <v>33</v>
      </c>
      <c r="E42" t="s">
        <v>16</v>
      </c>
      <c r="F42" s="5">
        <v>44509</v>
      </c>
      <c r="G42" t="s">
        <v>12</v>
      </c>
      <c r="H42">
        <v>53870</v>
      </c>
      <c r="I42" t="s">
        <v>204</v>
      </c>
      <c r="J42" s="7">
        <f ca="1">(TODAY() - staff[[#This Row],[Date Joined]]) / 365</f>
        <v>4.0849315068493155</v>
      </c>
      <c r="K42" s="19">
        <f ca="1">ROUNDUP(IF(staff[[#This Row],[Tenure]]&gt;2, 3%, 2%) * staff[[#This Row],[Salary]],0)</f>
        <v>1617</v>
      </c>
      <c r="L42" cm="1">
        <f t="array" ref="L42">_xlfn.IFS(staff[[#This Row],[Rating]]="Exceptional", 5, staff[[#This Row],[Rating]]="Above average", 4, staff[[#This Row],[Rating]]="Average", 3, staff[[#This Row],[Rating]]="Poor", 2, staff[[#This Row],[Rating]]="Very poor", 1)</f>
        <v>3</v>
      </c>
      <c r="M42">
        <f>_xlfn.XLOOKUP(staff[[#This Row],[Rating]],'Lookup Array'!$A$1:$A$5, 'Lookup Array'!$B$1:$B$5, "No Rating")</f>
        <v>3</v>
      </c>
    </row>
    <row r="43" spans="2:13" x14ac:dyDescent="0.25">
      <c r="B43" t="s">
        <v>174</v>
      </c>
      <c r="C43" t="s">
        <v>15</v>
      </c>
      <c r="D43">
        <v>33</v>
      </c>
      <c r="E43" t="s">
        <v>16</v>
      </c>
      <c r="F43" s="5">
        <v>44448</v>
      </c>
      <c r="G43" t="s">
        <v>12</v>
      </c>
      <c r="H43">
        <v>53870</v>
      </c>
      <c r="I43" t="s">
        <v>206</v>
      </c>
      <c r="J43" s="7">
        <f ca="1">(TODAY() - staff[[#This Row],[Date Joined]]) / 365</f>
        <v>4.2520547945205482</v>
      </c>
      <c r="K43" s="19">
        <f ca="1">ROUNDUP(IF(staff[[#This Row],[Tenure]]&gt;2, 3%, 2%) * staff[[#This Row],[Salary]],0)</f>
        <v>1617</v>
      </c>
      <c r="L43" cm="1">
        <f t="array" ref="L43">_xlfn.IFS(staff[[#This Row],[Rating]]="Exceptional", 5, staff[[#This Row],[Rating]]="Above average", 4, staff[[#This Row],[Rating]]="Average", 3, staff[[#This Row],[Rating]]="Poor", 2, staff[[#This Row],[Rating]]="Very poor", 1)</f>
        <v>3</v>
      </c>
      <c r="M43">
        <f>_xlfn.XLOOKUP(staff[[#This Row],[Rating]],'Lookup Array'!$A$1:$A$5, 'Lookup Array'!$B$1:$B$5, "No Rating")</f>
        <v>3</v>
      </c>
    </row>
    <row r="44" spans="2:13" x14ac:dyDescent="0.25">
      <c r="B44" t="s">
        <v>89</v>
      </c>
      <c r="C44" t="s">
        <v>15</v>
      </c>
      <c r="D44">
        <v>27</v>
      </c>
      <c r="E44" t="s">
        <v>16</v>
      </c>
      <c r="F44" s="5">
        <v>44134</v>
      </c>
      <c r="G44" t="s">
        <v>19</v>
      </c>
      <c r="H44">
        <v>54970</v>
      </c>
      <c r="I44" t="s">
        <v>204</v>
      </c>
      <c r="J44" s="7">
        <f ca="1">(TODAY() - staff[[#This Row],[Date Joined]]) / 365</f>
        <v>5.1123287671232873</v>
      </c>
      <c r="K44" s="19">
        <f ca="1">ROUNDUP(IF(staff[[#This Row],[Tenure]]&gt;2, 3%, 2%) * staff[[#This Row],[Salary]],0)</f>
        <v>1650</v>
      </c>
      <c r="L44" cm="1">
        <f t="array" ref="L44">_xlfn.IFS(staff[[#This Row],[Rating]]="Exceptional", 5, staff[[#This Row],[Rating]]="Above average", 4, staff[[#This Row],[Rating]]="Average", 3, staff[[#This Row],[Rating]]="Poor", 2, staff[[#This Row],[Rating]]="Very poor", 1)</f>
        <v>3</v>
      </c>
      <c r="M44">
        <f>_xlfn.XLOOKUP(staff[[#This Row],[Rating]],'Lookup Array'!$A$1:$A$5, 'Lookup Array'!$B$1:$B$5, "No Rating")</f>
        <v>3</v>
      </c>
    </row>
    <row r="45" spans="2:13" x14ac:dyDescent="0.25">
      <c r="B45" t="s">
        <v>182</v>
      </c>
      <c r="C45" t="s">
        <v>15</v>
      </c>
      <c r="D45">
        <v>27</v>
      </c>
      <c r="E45" t="s">
        <v>16</v>
      </c>
      <c r="F45" s="5">
        <v>44073</v>
      </c>
      <c r="G45" t="s">
        <v>19</v>
      </c>
      <c r="H45">
        <v>54970</v>
      </c>
      <c r="I45" t="s">
        <v>206</v>
      </c>
      <c r="J45" s="7">
        <f ca="1">(TODAY() - staff[[#This Row],[Date Joined]]) / 365</f>
        <v>5.279452054794521</v>
      </c>
      <c r="K45" s="19">
        <f ca="1">ROUNDUP(IF(staff[[#This Row],[Tenure]]&gt;2, 3%, 2%) * staff[[#This Row],[Salary]],0)</f>
        <v>1650</v>
      </c>
      <c r="L45" cm="1">
        <f t="array" ref="L45">_xlfn.IFS(staff[[#This Row],[Rating]]="Exceptional", 5, staff[[#This Row],[Rating]]="Above average", 4, staff[[#This Row],[Rating]]="Average", 3, staff[[#This Row],[Rating]]="Poor", 2, staff[[#This Row],[Rating]]="Very poor", 1)</f>
        <v>3</v>
      </c>
      <c r="M45">
        <f>_xlfn.XLOOKUP(staff[[#This Row],[Rating]],'Lookup Array'!$A$1:$A$5, 'Lookup Array'!$B$1:$B$5, "No Rating")</f>
        <v>3</v>
      </c>
    </row>
    <row r="46" spans="2:13" x14ac:dyDescent="0.25">
      <c r="B46" t="s">
        <v>109</v>
      </c>
      <c r="C46" t="s">
        <v>8</v>
      </c>
      <c r="D46">
        <v>38</v>
      </c>
      <c r="E46" t="s">
        <v>13</v>
      </c>
      <c r="F46" s="5">
        <v>44329</v>
      </c>
      <c r="G46" t="s">
        <v>19</v>
      </c>
      <c r="H46">
        <v>56870</v>
      </c>
      <c r="I46" t="s">
        <v>204</v>
      </c>
      <c r="J46" s="7">
        <f ca="1">(TODAY() - staff[[#This Row],[Date Joined]]) / 365</f>
        <v>4.5780821917808217</v>
      </c>
      <c r="K46" s="19">
        <f ca="1">ROUNDUP(IF(staff[[#This Row],[Tenure]]&gt;2, 3%, 2%) * staff[[#This Row],[Salary]],0)</f>
        <v>1707</v>
      </c>
      <c r="L46" cm="1">
        <f t="array" ref="L46">_xlfn.IFS(staff[[#This Row],[Rating]]="Exceptional", 5, staff[[#This Row],[Rating]]="Above average", 4, staff[[#This Row],[Rating]]="Average", 3, staff[[#This Row],[Rating]]="Poor", 2, staff[[#This Row],[Rating]]="Very poor", 1)</f>
        <v>4</v>
      </c>
      <c r="M46">
        <f>_xlfn.XLOOKUP(staff[[#This Row],[Rating]],'Lookup Array'!$A$1:$A$5, 'Lookup Array'!$B$1:$B$5, "No Rating")</f>
        <v>4</v>
      </c>
    </row>
    <row r="47" spans="2:13" x14ac:dyDescent="0.25">
      <c r="B47" t="s">
        <v>202</v>
      </c>
      <c r="C47" t="s">
        <v>8</v>
      </c>
      <c r="D47">
        <v>38</v>
      </c>
      <c r="E47" t="s">
        <v>13</v>
      </c>
      <c r="F47" s="5">
        <v>44268</v>
      </c>
      <c r="G47" t="s">
        <v>19</v>
      </c>
      <c r="H47">
        <v>56870</v>
      </c>
      <c r="I47" t="s">
        <v>206</v>
      </c>
      <c r="J47" s="7">
        <f ca="1">(TODAY() - staff[[#This Row],[Date Joined]]) / 365</f>
        <v>4.7452054794520544</v>
      </c>
      <c r="K47" s="19">
        <f ca="1">ROUNDUP(IF(staff[[#This Row],[Tenure]]&gt;2, 3%, 2%) * staff[[#This Row],[Salary]],0)</f>
        <v>1707</v>
      </c>
      <c r="L47" cm="1">
        <f t="array" ref="L47">_xlfn.IFS(staff[[#This Row],[Rating]]="Exceptional", 5, staff[[#This Row],[Rating]]="Above average", 4, staff[[#This Row],[Rating]]="Average", 3, staff[[#This Row],[Rating]]="Poor", 2, staff[[#This Row],[Rating]]="Very poor", 1)</f>
        <v>4</v>
      </c>
      <c r="M47">
        <f>_xlfn.XLOOKUP(staff[[#This Row],[Rating]],'Lookup Array'!$A$1:$A$5, 'Lookup Array'!$B$1:$B$5, "No Rating")</f>
        <v>4</v>
      </c>
    </row>
    <row r="48" spans="2:13" x14ac:dyDescent="0.25">
      <c r="B48" t="s">
        <v>31</v>
      </c>
      <c r="C48" t="s">
        <v>15</v>
      </c>
      <c r="D48">
        <v>21</v>
      </c>
      <c r="E48" t="s">
        <v>16</v>
      </c>
      <c r="F48" s="5">
        <v>44762</v>
      </c>
      <c r="G48" t="s">
        <v>9</v>
      </c>
      <c r="H48">
        <v>57090</v>
      </c>
      <c r="I48" t="s">
        <v>204</v>
      </c>
      <c r="J48" s="7">
        <f ca="1">(TODAY() - staff[[#This Row],[Date Joined]]) / 365</f>
        <v>3.3917808219178083</v>
      </c>
      <c r="K48" s="19">
        <f ca="1">ROUNDUP(IF(staff[[#This Row],[Tenure]]&gt;2, 3%, 2%) * staff[[#This Row],[Salary]],0)</f>
        <v>1713</v>
      </c>
      <c r="L48" cm="1">
        <f t="array" ref="L48">_xlfn.IFS(staff[[#This Row],[Rating]]="Exceptional", 5, staff[[#This Row],[Rating]]="Above average", 4, staff[[#This Row],[Rating]]="Average", 3, staff[[#This Row],[Rating]]="Poor", 2, staff[[#This Row],[Rating]]="Very poor", 1)</f>
        <v>3</v>
      </c>
      <c r="M48">
        <f>_xlfn.XLOOKUP(staff[[#This Row],[Rating]],'Lookup Array'!$A$1:$A$5, 'Lookup Array'!$B$1:$B$5, "No Rating")</f>
        <v>3</v>
      </c>
    </row>
    <row r="49" spans="2:13" x14ac:dyDescent="0.25">
      <c r="B49" t="s">
        <v>125</v>
      </c>
      <c r="C49" t="s">
        <v>15</v>
      </c>
      <c r="D49">
        <v>21</v>
      </c>
      <c r="E49" t="s">
        <v>16</v>
      </c>
      <c r="F49" s="5">
        <v>44701</v>
      </c>
      <c r="G49" t="s">
        <v>9</v>
      </c>
      <c r="H49">
        <v>57090</v>
      </c>
      <c r="I49" t="s">
        <v>206</v>
      </c>
      <c r="J49" s="7">
        <f ca="1">(TODAY() - staff[[#This Row],[Date Joined]]) / 365</f>
        <v>3.558904109589041</v>
      </c>
      <c r="K49" s="19">
        <f ca="1">ROUNDUP(IF(staff[[#This Row],[Tenure]]&gt;2, 3%, 2%) * staff[[#This Row],[Salary]],0)</f>
        <v>1713</v>
      </c>
      <c r="L49" cm="1">
        <f t="array" ref="L49">_xlfn.IFS(staff[[#This Row],[Rating]]="Exceptional", 5, staff[[#This Row],[Rating]]="Above average", 4, staff[[#This Row],[Rating]]="Average", 3, staff[[#This Row],[Rating]]="Poor", 2, staff[[#This Row],[Rating]]="Very poor", 1)</f>
        <v>3</v>
      </c>
      <c r="M49">
        <f>_xlfn.XLOOKUP(staff[[#This Row],[Rating]],'Lookup Array'!$A$1:$A$5, 'Lookup Array'!$B$1:$B$5, "No Rating")</f>
        <v>3</v>
      </c>
    </row>
    <row r="50" spans="2:13" x14ac:dyDescent="0.25">
      <c r="B50" t="s">
        <v>26</v>
      </c>
      <c r="C50" t="s">
        <v>8</v>
      </c>
      <c r="D50">
        <v>31</v>
      </c>
      <c r="E50" t="s">
        <v>16</v>
      </c>
      <c r="F50" s="5">
        <v>44663</v>
      </c>
      <c r="G50" t="s">
        <v>12</v>
      </c>
      <c r="H50">
        <v>58100</v>
      </c>
      <c r="I50" t="s">
        <v>204</v>
      </c>
      <c r="J50" s="7">
        <f ca="1">(TODAY() - staff[[#This Row],[Date Joined]]) / 365</f>
        <v>3.6630136986301371</v>
      </c>
      <c r="K50" s="19">
        <f ca="1">ROUNDUP(IF(staff[[#This Row],[Tenure]]&gt;2, 3%, 2%) * staff[[#This Row],[Salary]],0)</f>
        <v>1743</v>
      </c>
      <c r="L50" cm="1">
        <f t="array" ref="L50">_xlfn.IFS(staff[[#This Row],[Rating]]="Exceptional", 5, staff[[#This Row],[Rating]]="Above average", 4, staff[[#This Row],[Rating]]="Average", 3, staff[[#This Row],[Rating]]="Poor", 2, staff[[#This Row],[Rating]]="Very poor", 1)</f>
        <v>3</v>
      </c>
      <c r="M50">
        <f>_xlfn.XLOOKUP(staff[[#This Row],[Rating]],'Lookup Array'!$A$1:$A$5, 'Lookup Array'!$B$1:$B$5, "No Rating")</f>
        <v>3</v>
      </c>
    </row>
    <row r="51" spans="2:13" x14ac:dyDescent="0.25">
      <c r="B51" t="s">
        <v>120</v>
      </c>
      <c r="C51" t="s">
        <v>8</v>
      </c>
      <c r="D51">
        <v>31</v>
      </c>
      <c r="E51" t="s">
        <v>16</v>
      </c>
      <c r="F51" s="5">
        <v>44604</v>
      </c>
      <c r="G51" t="s">
        <v>12</v>
      </c>
      <c r="H51">
        <v>58100</v>
      </c>
      <c r="I51" t="s">
        <v>206</v>
      </c>
      <c r="J51" s="7">
        <f ca="1">(TODAY() - staff[[#This Row],[Date Joined]]) / 365</f>
        <v>3.8246575342465752</v>
      </c>
      <c r="K51" s="19">
        <f ca="1">ROUNDUP(IF(staff[[#This Row],[Tenure]]&gt;2, 3%, 2%) * staff[[#This Row],[Salary]],0)</f>
        <v>1743</v>
      </c>
      <c r="L51" cm="1">
        <f t="array" ref="L51">_xlfn.IFS(staff[[#This Row],[Rating]]="Exceptional", 5, staff[[#This Row],[Rating]]="Above average", 4, staff[[#This Row],[Rating]]="Average", 3, staff[[#This Row],[Rating]]="Poor", 2, staff[[#This Row],[Rating]]="Very poor", 1)</f>
        <v>3</v>
      </c>
      <c r="M51">
        <f>_xlfn.XLOOKUP(staff[[#This Row],[Rating]],'Lookup Array'!$A$1:$A$5, 'Lookup Array'!$B$1:$B$5, "No Rating")</f>
        <v>3</v>
      </c>
    </row>
    <row r="52" spans="2:13" x14ac:dyDescent="0.25">
      <c r="B52" t="s">
        <v>36</v>
      </c>
      <c r="C52" t="s">
        <v>8</v>
      </c>
      <c r="D52">
        <v>34</v>
      </c>
      <c r="E52" t="s">
        <v>16</v>
      </c>
      <c r="F52" s="5">
        <v>44653</v>
      </c>
      <c r="G52" t="s">
        <v>21</v>
      </c>
      <c r="H52">
        <v>58940</v>
      </c>
      <c r="I52" t="s">
        <v>204</v>
      </c>
      <c r="J52" s="7">
        <f ca="1">(TODAY() - staff[[#This Row],[Date Joined]]) / 365</f>
        <v>3.6904109589041094</v>
      </c>
      <c r="K52" s="19">
        <f ca="1">ROUNDUP(IF(staff[[#This Row],[Tenure]]&gt;2, 3%, 2%) * staff[[#This Row],[Salary]],0)</f>
        <v>1769</v>
      </c>
      <c r="L52" cm="1">
        <f t="array" ref="L52">_xlfn.IFS(staff[[#This Row],[Rating]]="Exceptional", 5, staff[[#This Row],[Rating]]="Above average", 4, staff[[#This Row],[Rating]]="Average", 3, staff[[#This Row],[Rating]]="Poor", 2, staff[[#This Row],[Rating]]="Very poor", 1)</f>
        <v>3</v>
      </c>
      <c r="M52">
        <f>_xlfn.XLOOKUP(staff[[#This Row],[Rating]],'Lookup Array'!$A$1:$A$5, 'Lookup Array'!$B$1:$B$5, "No Rating")</f>
        <v>3</v>
      </c>
    </row>
    <row r="53" spans="2:13" x14ac:dyDescent="0.25">
      <c r="B53" t="s">
        <v>130</v>
      </c>
      <c r="C53" t="s">
        <v>8</v>
      </c>
      <c r="D53">
        <v>34</v>
      </c>
      <c r="E53" t="s">
        <v>16</v>
      </c>
      <c r="F53" s="5">
        <v>44594</v>
      </c>
      <c r="G53" t="s">
        <v>21</v>
      </c>
      <c r="H53">
        <v>58940</v>
      </c>
      <c r="I53" t="s">
        <v>206</v>
      </c>
      <c r="J53" s="7">
        <f ca="1">(TODAY() - staff[[#This Row],[Date Joined]]) / 365</f>
        <v>3.8520547945205479</v>
      </c>
      <c r="K53" s="19">
        <f ca="1">ROUNDUP(IF(staff[[#This Row],[Tenure]]&gt;2, 3%, 2%) * staff[[#This Row],[Salary]],0)</f>
        <v>1769</v>
      </c>
      <c r="L53" cm="1">
        <f t="array" ref="L53">_xlfn.IFS(staff[[#This Row],[Rating]]="Exceptional", 5, staff[[#This Row],[Rating]]="Above average", 4, staff[[#This Row],[Rating]]="Average", 3, staff[[#This Row],[Rating]]="Poor", 2, staff[[#This Row],[Rating]]="Very poor", 1)</f>
        <v>3</v>
      </c>
      <c r="M53">
        <f>_xlfn.XLOOKUP(staff[[#This Row],[Rating]],'Lookup Array'!$A$1:$A$5, 'Lookup Array'!$B$1:$B$5, "No Rating")</f>
        <v>3</v>
      </c>
    </row>
    <row r="54" spans="2:13" x14ac:dyDescent="0.25">
      <c r="B54" t="s">
        <v>100</v>
      </c>
      <c r="C54" t="s">
        <v>15</v>
      </c>
      <c r="D54">
        <v>19</v>
      </c>
      <c r="E54" t="s">
        <v>16</v>
      </c>
      <c r="F54" s="5">
        <v>44277</v>
      </c>
      <c r="G54" t="s">
        <v>9</v>
      </c>
      <c r="H54">
        <v>58960</v>
      </c>
      <c r="I54" t="s">
        <v>204</v>
      </c>
      <c r="J54" s="7">
        <f ca="1">(TODAY() - staff[[#This Row],[Date Joined]]) / 365</f>
        <v>4.720547945205479</v>
      </c>
      <c r="K54" s="19">
        <f ca="1">ROUNDUP(IF(staff[[#This Row],[Tenure]]&gt;2, 3%, 2%) * staff[[#This Row],[Salary]],0)</f>
        <v>1769</v>
      </c>
      <c r="L54" cm="1">
        <f t="array" ref="L54">_xlfn.IFS(staff[[#This Row],[Rating]]="Exceptional", 5, staff[[#This Row],[Rating]]="Above average", 4, staff[[#This Row],[Rating]]="Average", 3, staff[[#This Row],[Rating]]="Poor", 2, staff[[#This Row],[Rating]]="Very poor", 1)</f>
        <v>3</v>
      </c>
      <c r="M54">
        <f>_xlfn.XLOOKUP(staff[[#This Row],[Rating]],'Lookup Array'!$A$1:$A$5, 'Lookup Array'!$B$1:$B$5, "No Rating")</f>
        <v>3</v>
      </c>
    </row>
    <row r="55" spans="2:13" x14ac:dyDescent="0.25">
      <c r="B55" t="s">
        <v>193</v>
      </c>
      <c r="C55" t="s">
        <v>15</v>
      </c>
      <c r="D55">
        <v>19</v>
      </c>
      <c r="E55" t="s">
        <v>16</v>
      </c>
      <c r="F55" s="5">
        <v>44218</v>
      </c>
      <c r="G55" t="s">
        <v>9</v>
      </c>
      <c r="H55">
        <v>58960</v>
      </c>
      <c r="I55" t="s">
        <v>206</v>
      </c>
      <c r="J55" s="7">
        <f ca="1">(TODAY() - staff[[#This Row],[Date Joined]]) / 365</f>
        <v>4.882191780821918</v>
      </c>
      <c r="K55" s="19">
        <f ca="1">ROUNDUP(IF(staff[[#This Row],[Tenure]]&gt;2, 3%, 2%) * staff[[#This Row],[Salary]],0)</f>
        <v>1769</v>
      </c>
      <c r="L55" cm="1">
        <f t="array" ref="L55">_xlfn.IFS(staff[[#This Row],[Rating]]="Exceptional", 5, staff[[#This Row],[Rating]]="Above average", 4, staff[[#This Row],[Rating]]="Average", 3, staff[[#This Row],[Rating]]="Poor", 2, staff[[#This Row],[Rating]]="Very poor", 1)</f>
        <v>3</v>
      </c>
      <c r="M55">
        <f>_xlfn.XLOOKUP(staff[[#This Row],[Rating]],'Lookup Array'!$A$1:$A$5, 'Lookup Array'!$B$1:$B$5, "No Rating")</f>
        <v>3</v>
      </c>
    </row>
    <row r="56" spans="2:13" x14ac:dyDescent="0.25">
      <c r="B56" t="s">
        <v>79</v>
      </c>
      <c r="C56" t="s">
        <v>15</v>
      </c>
      <c r="D56">
        <v>33</v>
      </c>
      <c r="E56" t="s">
        <v>16</v>
      </c>
      <c r="F56" s="5">
        <v>44243</v>
      </c>
      <c r="G56" t="s">
        <v>21</v>
      </c>
      <c r="H56">
        <v>59430</v>
      </c>
      <c r="I56" t="s">
        <v>204</v>
      </c>
      <c r="J56" s="7">
        <f ca="1">(TODAY() - staff[[#This Row],[Date Joined]]) / 365</f>
        <v>4.8136986301369866</v>
      </c>
      <c r="K56" s="19">
        <f ca="1">ROUNDUP(IF(staff[[#This Row],[Tenure]]&gt;2, 3%, 2%) * staff[[#This Row],[Salary]],0)</f>
        <v>1783</v>
      </c>
      <c r="L56" cm="1">
        <f t="array" ref="L56">_xlfn.IFS(staff[[#This Row],[Rating]]="Exceptional", 5, staff[[#This Row],[Rating]]="Above average", 4, staff[[#This Row],[Rating]]="Average", 3, staff[[#This Row],[Rating]]="Poor", 2, staff[[#This Row],[Rating]]="Very poor", 1)</f>
        <v>3</v>
      </c>
      <c r="M56">
        <f>_xlfn.XLOOKUP(staff[[#This Row],[Rating]],'Lookup Array'!$A$1:$A$5, 'Lookup Array'!$B$1:$B$5, "No Rating")</f>
        <v>3</v>
      </c>
    </row>
    <row r="57" spans="2:13" x14ac:dyDescent="0.25">
      <c r="B57" t="s">
        <v>171</v>
      </c>
      <c r="C57" t="s">
        <v>15</v>
      </c>
      <c r="D57">
        <v>33</v>
      </c>
      <c r="E57" t="s">
        <v>16</v>
      </c>
      <c r="F57" s="5">
        <v>44181</v>
      </c>
      <c r="G57" t="s">
        <v>21</v>
      </c>
      <c r="H57">
        <v>59430</v>
      </c>
      <c r="I57" t="s">
        <v>206</v>
      </c>
      <c r="J57" s="7">
        <f ca="1">(TODAY() - staff[[#This Row],[Date Joined]]) / 365</f>
        <v>4.9835616438356167</v>
      </c>
      <c r="K57" s="19">
        <f ca="1">ROUNDUP(IF(staff[[#This Row],[Tenure]]&gt;2, 3%, 2%) * staff[[#This Row],[Salary]],0)</f>
        <v>1783</v>
      </c>
      <c r="L57" cm="1">
        <f t="array" ref="L57">_xlfn.IFS(staff[[#This Row],[Rating]]="Exceptional", 5, staff[[#This Row],[Rating]]="Above average", 4, staff[[#This Row],[Rating]]="Average", 3, staff[[#This Row],[Rating]]="Poor", 2, staff[[#This Row],[Rating]]="Very poor", 1)</f>
        <v>3</v>
      </c>
      <c r="M57">
        <f>_xlfn.XLOOKUP(staff[[#This Row],[Rating]],'Lookup Array'!$A$1:$A$5, 'Lookup Array'!$B$1:$B$5, "No Rating")</f>
        <v>3</v>
      </c>
    </row>
    <row r="58" spans="2:13" x14ac:dyDescent="0.25">
      <c r="B58" t="s">
        <v>38</v>
      </c>
      <c r="C58" t="s">
        <v>8</v>
      </c>
      <c r="D58">
        <v>34</v>
      </c>
      <c r="E58" t="s">
        <v>16</v>
      </c>
      <c r="F58" s="5">
        <v>44612</v>
      </c>
      <c r="G58" t="s">
        <v>21</v>
      </c>
      <c r="H58">
        <v>60130</v>
      </c>
      <c r="I58" t="s">
        <v>204</v>
      </c>
      <c r="J58" s="7">
        <f ca="1">(TODAY() - staff[[#This Row],[Date Joined]]) / 365</f>
        <v>3.8027397260273972</v>
      </c>
      <c r="K58" s="19">
        <f ca="1">ROUNDUP(IF(staff[[#This Row],[Tenure]]&gt;2, 3%, 2%) * staff[[#This Row],[Salary]],0)</f>
        <v>1804</v>
      </c>
      <c r="L58" cm="1">
        <f t="array" ref="L58">_xlfn.IFS(staff[[#This Row],[Rating]]="Exceptional", 5, staff[[#This Row],[Rating]]="Above average", 4, staff[[#This Row],[Rating]]="Average", 3, staff[[#This Row],[Rating]]="Poor", 2, staff[[#This Row],[Rating]]="Very poor", 1)</f>
        <v>3</v>
      </c>
      <c r="M58">
        <f>_xlfn.XLOOKUP(staff[[#This Row],[Rating]],'Lookup Array'!$A$1:$A$5, 'Lookup Array'!$B$1:$B$5, "No Rating")</f>
        <v>3</v>
      </c>
    </row>
    <row r="59" spans="2:13" x14ac:dyDescent="0.25">
      <c r="B59" t="s">
        <v>132</v>
      </c>
      <c r="C59" t="s">
        <v>8</v>
      </c>
      <c r="D59">
        <v>34</v>
      </c>
      <c r="E59" t="s">
        <v>16</v>
      </c>
      <c r="F59" s="5">
        <v>44550</v>
      </c>
      <c r="G59" t="s">
        <v>21</v>
      </c>
      <c r="H59">
        <v>60130</v>
      </c>
      <c r="I59" t="s">
        <v>206</v>
      </c>
      <c r="J59" s="7">
        <f ca="1">(TODAY() - staff[[#This Row],[Date Joined]]) / 365</f>
        <v>3.9726027397260273</v>
      </c>
      <c r="K59" s="19">
        <f ca="1">ROUNDUP(IF(staff[[#This Row],[Tenure]]&gt;2, 3%, 2%) * staff[[#This Row],[Salary]],0)</f>
        <v>1804</v>
      </c>
      <c r="L59" cm="1">
        <f t="array" ref="L59">_xlfn.IFS(staff[[#This Row],[Rating]]="Exceptional", 5, staff[[#This Row],[Rating]]="Above average", 4, staff[[#This Row],[Rating]]="Average", 3, staff[[#This Row],[Rating]]="Poor", 2, staff[[#This Row],[Rating]]="Very poor", 1)</f>
        <v>3</v>
      </c>
      <c r="M59">
        <f>_xlfn.XLOOKUP(staff[[#This Row],[Rating]],'Lookup Array'!$A$1:$A$5, 'Lookup Array'!$B$1:$B$5, "No Rating")</f>
        <v>3</v>
      </c>
    </row>
    <row r="60" spans="2:13" x14ac:dyDescent="0.25">
      <c r="B60" t="s">
        <v>37</v>
      </c>
      <c r="C60" t="s">
        <v>15</v>
      </c>
      <c r="D60">
        <v>30</v>
      </c>
      <c r="E60" t="s">
        <v>16</v>
      </c>
      <c r="F60" s="5">
        <v>44666</v>
      </c>
      <c r="G60" t="s">
        <v>9</v>
      </c>
      <c r="H60">
        <v>60570</v>
      </c>
      <c r="I60" t="s">
        <v>204</v>
      </c>
      <c r="J60" s="7">
        <f ca="1">(TODAY() - staff[[#This Row],[Date Joined]]) / 365</f>
        <v>3.6547945205479451</v>
      </c>
      <c r="K60" s="19">
        <f ca="1">ROUNDUP(IF(staff[[#This Row],[Tenure]]&gt;2, 3%, 2%) * staff[[#This Row],[Salary]],0)</f>
        <v>1818</v>
      </c>
      <c r="L60" cm="1">
        <f t="array" ref="L60">_xlfn.IFS(staff[[#This Row],[Rating]]="Exceptional", 5, staff[[#This Row],[Rating]]="Above average", 4, staff[[#This Row],[Rating]]="Average", 3, staff[[#This Row],[Rating]]="Poor", 2, staff[[#This Row],[Rating]]="Very poor", 1)</f>
        <v>3</v>
      </c>
      <c r="M60">
        <f>_xlfn.XLOOKUP(staff[[#This Row],[Rating]],'Lookup Array'!$A$1:$A$5, 'Lookup Array'!$B$1:$B$5, "No Rating")</f>
        <v>3</v>
      </c>
    </row>
    <row r="61" spans="2:13" x14ac:dyDescent="0.25">
      <c r="B61" t="s">
        <v>131</v>
      </c>
      <c r="C61" t="s">
        <v>15</v>
      </c>
      <c r="D61">
        <v>30</v>
      </c>
      <c r="E61" t="s">
        <v>16</v>
      </c>
      <c r="F61" s="5">
        <v>44607</v>
      </c>
      <c r="G61" t="s">
        <v>9</v>
      </c>
      <c r="H61">
        <v>60570</v>
      </c>
      <c r="I61" t="s">
        <v>206</v>
      </c>
      <c r="J61" s="7">
        <f ca="1">(TODAY() - staff[[#This Row],[Date Joined]]) / 365</f>
        <v>3.8164383561643835</v>
      </c>
      <c r="K61" s="19">
        <f ca="1">ROUNDUP(IF(staff[[#This Row],[Tenure]]&gt;2, 3%, 2%) * staff[[#This Row],[Salary]],0)</f>
        <v>1818</v>
      </c>
      <c r="L61" cm="1">
        <f t="array" ref="L61">_xlfn.IFS(staff[[#This Row],[Rating]]="Exceptional", 5, staff[[#This Row],[Rating]]="Above average", 4, staff[[#This Row],[Rating]]="Average", 3, staff[[#This Row],[Rating]]="Poor", 2, staff[[#This Row],[Rating]]="Very poor", 1)</f>
        <v>3</v>
      </c>
      <c r="M61">
        <f>_xlfn.XLOOKUP(staff[[#This Row],[Rating]],'Lookup Array'!$A$1:$A$5, 'Lookup Array'!$B$1:$B$5, "No Rating")</f>
        <v>3</v>
      </c>
    </row>
    <row r="62" spans="2:13" x14ac:dyDescent="0.25">
      <c r="B62" t="s">
        <v>61</v>
      </c>
      <c r="C62" t="s">
        <v>8</v>
      </c>
      <c r="D62">
        <v>24</v>
      </c>
      <c r="E62" t="s">
        <v>16</v>
      </c>
      <c r="F62" s="5">
        <v>44148</v>
      </c>
      <c r="G62" t="s">
        <v>12</v>
      </c>
      <c r="H62">
        <v>62780</v>
      </c>
      <c r="I62" t="s">
        <v>204</v>
      </c>
      <c r="J62" s="7">
        <f ca="1">(TODAY() - staff[[#This Row],[Date Joined]]) / 365</f>
        <v>5.0739726027397261</v>
      </c>
      <c r="K62" s="19">
        <f ca="1">ROUNDUP(IF(staff[[#This Row],[Tenure]]&gt;2, 3%, 2%) * staff[[#This Row],[Salary]],0)</f>
        <v>1884</v>
      </c>
      <c r="L62" cm="1">
        <f t="array" ref="L62">_xlfn.IFS(staff[[#This Row],[Rating]]="Exceptional", 5, staff[[#This Row],[Rating]]="Above average", 4, staff[[#This Row],[Rating]]="Average", 3, staff[[#This Row],[Rating]]="Poor", 2, staff[[#This Row],[Rating]]="Very poor", 1)</f>
        <v>3</v>
      </c>
      <c r="M62">
        <f>_xlfn.XLOOKUP(staff[[#This Row],[Rating]],'Lookup Array'!$A$1:$A$5, 'Lookup Array'!$B$1:$B$5, "No Rating")</f>
        <v>3</v>
      </c>
    </row>
    <row r="63" spans="2:13" x14ac:dyDescent="0.25">
      <c r="B63" t="s">
        <v>153</v>
      </c>
      <c r="C63" t="s">
        <v>8</v>
      </c>
      <c r="D63">
        <v>24</v>
      </c>
      <c r="E63" t="s">
        <v>16</v>
      </c>
      <c r="F63" s="5">
        <v>44087</v>
      </c>
      <c r="G63" t="s">
        <v>12</v>
      </c>
      <c r="H63">
        <v>62780</v>
      </c>
      <c r="I63" t="s">
        <v>206</v>
      </c>
      <c r="J63" s="7">
        <f ca="1">(TODAY() - staff[[#This Row],[Date Joined]]) / 365</f>
        <v>5.2410958904109588</v>
      </c>
      <c r="K63" s="19">
        <f ca="1">ROUNDUP(IF(staff[[#This Row],[Tenure]]&gt;2, 3%, 2%) * staff[[#This Row],[Salary]],0)</f>
        <v>1884</v>
      </c>
      <c r="L63" cm="1">
        <f t="array" ref="L63">_xlfn.IFS(staff[[#This Row],[Rating]]="Exceptional", 5, staff[[#This Row],[Rating]]="Above average", 4, staff[[#This Row],[Rating]]="Average", 3, staff[[#This Row],[Rating]]="Poor", 2, staff[[#This Row],[Rating]]="Very poor", 1)</f>
        <v>3</v>
      </c>
      <c r="M63">
        <f>_xlfn.XLOOKUP(staff[[#This Row],[Rating]],'Lookup Array'!$A$1:$A$5, 'Lookup Array'!$B$1:$B$5, "No Rating")</f>
        <v>3</v>
      </c>
    </row>
    <row r="64" spans="2:13" x14ac:dyDescent="0.25">
      <c r="B64" t="s">
        <v>20</v>
      </c>
      <c r="C64" t="s">
        <v>205</v>
      </c>
      <c r="D64">
        <v>30</v>
      </c>
      <c r="E64" t="s">
        <v>16</v>
      </c>
      <c r="F64" s="5">
        <v>44597</v>
      </c>
      <c r="G64" t="s">
        <v>21</v>
      </c>
      <c r="H64">
        <v>64000</v>
      </c>
      <c r="I64" t="s">
        <v>204</v>
      </c>
      <c r="J64" s="7">
        <f ca="1">(TODAY() - staff[[#This Row],[Date Joined]]) / 365</f>
        <v>3.8438356164383563</v>
      </c>
      <c r="K64" s="19">
        <f ca="1">ROUNDUP(IF(staff[[#This Row],[Tenure]]&gt;2, 3%, 2%) * staff[[#This Row],[Salary]],0)</f>
        <v>1920</v>
      </c>
      <c r="L64" cm="1">
        <f t="array" ref="L64">_xlfn.IFS(staff[[#This Row],[Rating]]="Exceptional", 5, staff[[#This Row],[Rating]]="Above average", 4, staff[[#This Row],[Rating]]="Average", 3, staff[[#This Row],[Rating]]="Poor", 2, staff[[#This Row],[Rating]]="Very poor", 1)</f>
        <v>3</v>
      </c>
      <c r="M64">
        <f>_xlfn.XLOOKUP(staff[[#This Row],[Rating]],'Lookup Array'!$A$1:$A$5, 'Lookup Array'!$B$1:$B$5, "No Rating")</f>
        <v>3</v>
      </c>
    </row>
    <row r="65" spans="2:13" x14ac:dyDescent="0.25">
      <c r="B65" t="s">
        <v>116</v>
      </c>
      <c r="C65" t="s">
        <v>205</v>
      </c>
      <c r="D65">
        <v>30</v>
      </c>
      <c r="E65" t="s">
        <v>16</v>
      </c>
      <c r="F65" s="5">
        <v>44535</v>
      </c>
      <c r="G65" t="s">
        <v>21</v>
      </c>
      <c r="H65">
        <v>64000</v>
      </c>
      <c r="I65" t="s">
        <v>206</v>
      </c>
      <c r="J65" s="7">
        <f ca="1">(TODAY() - staff[[#This Row],[Date Joined]]) / 365</f>
        <v>4.0136986301369859</v>
      </c>
      <c r="K65" s="19">
        <f ca="1">ROUNDUP(IF(staff[[#This Row],[Tenure]]&gt;2, 3%, 2%) * staff[[#This Row],[Salary]],0)</f>
        <v>1920</v>
      </c>
      <c r="L65" cm="1">
        <f t="array" ref="L65">_xlfn.IFS(staff[[#This Row],[Rating]]="Exceptional", 5, staff[[#This Row],[Rating]]="Above average", 4, staff[[#This Row],[Rating]]="Average", 3, staff[[#This Row],[Rating]]="Poor", 2, staff[[#This Row],[Rating]]="Very poor", 1)</f>
        <v>3</v>
      </c>
      <c r="M65">
        <f>_xlfn.XLOOKUP(staff[[#This Row],[Rating]],'Lookup Array'!$A$1:$A$5, 'Lookup Array'!$B$1:$B$5, "No Rating")</f>
        <v>3</v>
      </c>
    </row>
    <row r="66" spans="2:13" x14ac:dyDescent="0.25">
      <c r="B66" t="s">
        <v>93</v>
      </c>
      <c r="C66" t="s">
        <v>8</v>
      </c>
      <c r="D66">
        <v>33</v>
      </c>
      <c r="E66" t="s">
        <v>16</v>
      </c>
      <c r="F66" s="5">
        <v>44067</v>
      </c>
      <c r="G66" t="s">
        <v>21</v>
      </c>
      <c r="H66">
        <v>65360</v>
      </c>
      <c r="I66" t="s">
        <v>204</v>
      </c>
      <c r="J66" s="7">
        <f ca="1">(TODAY() - staff[[#This Row],[Date Joined]]) / 365</f>
        <v>5.2958904109589042</v>
      </c>
      <c r="K66" s="19">
        <f ca="1">ROUNDUP(IF(staff[[#This Row],[Tenure]]&gt;2, 3%, 2%) * staff[[#This Row],[Salary]],0)</f>
        <v>1961</v>
      </c>
      <c r="L66" cm="1">
        <f t="array" ref="L66">_xlfn.IFS(staff[[#This Row],[Rating]]="Exceptional", 5, staff[[#This Row],[Rating]]="Above average", 4, staff[[#This Row],[Rating]]="Average", 3, staff[[#This Row],[Rating]]="Poor", 2, staff[[#This Row],[Rating]]="Very poor", 1)</f>
        <v>3</v>
      </c>
      <c r="M66">
        <f>_xlfn.XLOOKUP(staff[[#This Row],[Rating]],'Lookup Array'!$A$1:$A$5, 'Lookup Array'!$B$1:$B$5, "No Rating")</f>
        <v>3</v>
      </c>
    </row>
    <row r="67" spans="2:13" x14ac:dyDescent="0.25">
      <c r="B67" t="s">
        <v>186</v>
      </c>
      <c r="C67" t="s">
        <v>8</v>
      </c>
      <c r="D67">
        <v>33</v>
      </c>
      <c r="E67" t="s">
        <v>16</v>
      </c>
      <c r="F67" s="5">
        <v>44006</v>
      </c>
      <c r="G67" t="s">
        <v>21</v>
      </c>
      <c r="H67">
        <v>65360</v>
      </c>
      <c r="I67" t="s">
        <v>206</v>
      </c>
      <c r="J67" s="7">
        <f ca="1">(TODAY() - staff[[#This Row],[Date Joined]]) / 365</f>
        <v>5.463013698630137</v>
      </c>
      <c r="K67" s="19">
        <f ca="1">ROUNDUP(IF(staff[[#This Row],[Tenure]]&gt;2, 3%, 2%) * staff[[#This Row],[Salary]],0)</f>
        <v>1961</v>
      </c>
      <c r="L67" cm="1">
        <f t="array" ref="L67">_xlfn.IFS(staff[[#This Row],[Rating]]="Exceptional", 5, staff[[#This Row],[Rating]]="Above average", 4, staff[[#This Row],[Rating]]="Average", 3, staff[[#This Row],[Rating]]="Poor", 2, staff[[#This Row],[Rating]]="Very poor", 1)</f>
        <v>3</v>
      </c>
      <c r="M67">
        <f>_xlfn.XLOOKUP(staff[[#This Row],[Rating]],'Lookup Array'!$A$1:$A$5, 'Lookup Array'!$B$1:$B$5, "No Rating")</f>
        <v>3</v>
      </c>
    </row>
    <row r="68" spans="2:13" x14ac:dyDescent="0.25">
      <c r="B68" t="s">
        <v>76</v>
      </c>
      <c r="C68" t="s">
        <v>15</v>
      </c>
      <c r="D68">
        <v>25</v>
      </c>
      <c r="E68" t="s">
        <v>16</v>
      </c>
      <c r="F68" s="5">
        <v>44383</v>
      </c>
      <c r="G68" t="s">
        <v>19</v>
      </c>
      <c r="H68">
        <v>65700</v>
      </c>
      <c r="I68" t="s">
        <v>204</v>
      </c>
      <c r="J68" s="7">
        <f ca="1">(TODAY() - staff[[#This Row],[Date Joined]]) / 365</f>
        <v>4.4301369863013695</v>
      </c>
      <c r="K68" s="19">
        <f ca="1">ROUNDUP(IF(staff[[#This Row],[Tenure]]&gt;2, 3%, 2%) * staff[[#This Row],[Salary]],0)</f>
        <v>1971</v>
      </c>
      <c r="L68" cm="1">
        <f t="array" ref="L68">_xlfn.IFS(staff[[#This Row],[Rating]]="Exceptional", 5, staff[[#This Row],[Rating]]="Above average", 4, staff[[#This Row],[Rating]]="Average", 3, staff[[#This Row],[Rating]]="Poor", 2, staff[[#This Row],[Rating]]="Very poor", 1)</f>
        <v>3</v>
      </c>
      <c r="M68">
        <f>_xlfn.XLOOKUP(staff[[#This Row],[Rating]],'Lookup Array'!$A$1:$A$5, 'Lookup Array'!$B$1:$B$5, "No Rating")</f>
        <v>3</v>
      </c>
    </row>
    <row r="69" spans="2:13" x14ac:dyDescent="0.25">
      <c r="B69" t="s">
        <v>168</v>
      </c>
      <c r="C69" t="s">
        <v>15</v>
      </c>
      <c r="D69">
        <v>25</v>
      </c>
      <c r="E69" t="s">
        <v>16</v>
      </c>
      <c r="F69" s="5">
        <v>44322</v>
      </c>
      <c r="G69" t="s">
        <v>19</v>
      </c>
      <c r="H69">
        <v>65700</v>
      </c>
      <c r="I69" t="s">
        <v>206</v>
      </c>
      <c r="J69" s="7">
        <f ca="1">(TODAY() - staff[[#This Row],[Date Joined]]) / 365</f>
        <v>4.5972602739726032</v>
      </c>
      <c r="K69" s="19">
        <f ca="1">ROUNDUP(IF(staff[[#This Row],[Tenure]]&gt;2, 3%, 2%) * staff[[#This Row],[Salary]],0)</f>
        <v>1971</v>
      </c>
      <c r="L69" cm="1">
        <f t="array" ref="L69">_xlfn.IFS(staff[[#This Row],[Rating]]="Exceptional", 5, staff[[#This Row],[Rating]]="Above average", 4, staff[[#This Row],[Rating]]="Average", 3, staff[[#This Row],[Rating]]="Poor", 2, staff[[#This Row],[Rating]]="Very poor", 1)</f>
        <v>3</v>
      </c>
      <c r="M69">
        <f>_xlfn.XLOOKUP(staff[[#This Row],[Rating]],'Lookup Array'!$A$1:$A$5, 'Lookup Array'!$B$1:$B$5, "No Rating")</f>
        <v>3</v>
      </c>
    </row>
    <row r="70" spans="2:13" x14ac:dyDescent="0.25">
      <c r="B70" t="s">
        <v>32</v>
      </c>
      <c r="C70" t="s">
        <v>8</v>
      </c>
      <c r="D70">
        <v>21</v>
      </c>
      <c r="E70" t="s">
        <v>16</v>
      </c>
      <c r="F70" s="5">
        <v>44317</v>
      </c>
      <c r="G70" t="s">
        <v>21</v>
      </c>
      <c r="H70">
        <v>65920</v>
      </c>
      <c r="I70" t="s">
        <v>204</v>
      </c>
      <c r="J70" s="7">
        <f ca="1">(TODAY() - staff[[#This Row],[Date Joined]]) / 365</f>
        <v>4.6109589041095891</v>
      </c>
      <c r="K70" s="19">
        <f ca="1">ROUNDUP(IF(staff[[#This Row],[Tenure]]&gt;2, 3%, 2%) * staff[[#This Row],[Salary]],0)</f>
        <v>1978</v>
      </c>
      <c r="L70" cm="1">
        <f t="array" ref="L70">_xlfn.IFS(staff[[#This Row],[Rating]]="Exceptional", 5, staff[[#This Row],[Rating]]="Above average", 4, staff[[#This Row],[Rating]]="Average", 3, staff[[#This Row],[Rating]]="Poor", 2, staff[[#This Row],[Rating]]="Very poor", 1)</f>
        <v>3</v>
      </c>
      <c r="M70">
        <f>_xlfn.XLOOKUP(staff[[#This Row],[Rating]],'Lookup Array'!$A$1:$A$5, 'Lookup Array'!$B$1:$B$5, "No Rating")</f>
        <v>3</v>
      </c>
    </row>
    <row r="71" spans="2:13" x14ac:dyDescent="0.25">
      <c r="B71" t="s">
        <v>126</v>
      </c>
      <c r="C71" t="s">
        <v>8</v>
      </c>
      <c r="D71">
        <v>21</v>
      </c>
      <c r="E71" t="s">
        <v>16</v>
      </c>
      <c r="F71" s="5">
        <v>44256</v>
      </c>
      <c r="G71" t="s">
        <v>21</v>
      </c>
      <c r="H71">
        <v>65920</v>
      </c>
      <c r="I71" t="s">
        <v>206</v>
      </c>
      <c r="J71" s="7">
        <f ca="1">(TODAY() - staff[[#This Row],[Date Joined]]) / 365</f>
        <v>4.7780821917808218</v>
      </c>
      <c r="K71" s="19">
        <f ca="1">ROUNDUP(IF(staff[[#This Row],[Tenure]]&gt;2, 3%, 2%) * staff[[#This Row],[Salary]],0)</f>
        <v>1978</v>
      </c>
      <c r="L71" cm="1">
        <f t="array" ref="L71">_xlfn.IFS(staff[[#This Row],[Rating]]="Exceptional", 5, staff[[#This Row],[Rating]]="Above average", 4, staff[[#This Row],[Rating]]="Average", 3, staff[[#This Row],[Rating]]="Poor", 2, staff[[#This Row],[Rating]]="Very poor", 1)</f>
        <v>3</v>
      </c>
      <c r="M71">
        <f>_xlfn.XLOOKUP(staff[[#This Row],[Rating]],'Lookup Array'!$A$1:$A$5, 'Lookup Array'!$B$1:$B$5, "No Rating")</f>
        <v>3</v>
      </c>
    </row>
    <row r="72" spans="2:13" x14ac:dyDescent="0.25">
      <c r="B72" t="s">
        <v>27</v>
      </c>
      <c r="C72" t="s">
        <v>8</v>
      </c>
      <c r="D72">
        <v>30</v>
      </c>
      <c r="E72" t="s">
        <v>24</v>
      </c>
      <c r="F72" s="5">
        <v>44389</v>
      </c>
      <c r="G72" t="s">
        <v>21</v>
      </c>
      <c r="H72">
        <v>67910</v>
      </c>
      <c r="I72" t="s">
        <v>204</v>
      </c>
      <c r="J72" s="7">
        <f ca="1">(TODAY() - staff[[#This Row],[Date Joined]]) / 365</f>
        <v>4.4136986301369863</v>
      </c>
      <c r="K72" s="19">
        <f ca="1">ROUNDUP(IF(staff[[#This Row],[Tenure]]&gt;2, 3%, 2%) * staff[[#This Row],[Salary]],0)</f>
        <v>2038</v>
      </c>
      <c r="L72" cm="1">
        <f t="array" ref="L72">_xlfn.IFS(staff[[#This Row],[Rating]]="Exceptional", 5, staff[[#This Row],[Rating]]="Above average", 4, staff[[#This Row],[Rating]]="Average", 3, staff[[#This Row],[Rating]]="Poor", 2, staff[[#This Row],[Rating]]="Very poor", 1)</f>
        <v>2</v>
      </c>
      <c r="M72">
        <f>_xlfn.XLOOKUP(staff[[#This Row],[Rating]],'Lookup Array'!$A$1:$A$5, 'Lookup Array'!$B$1:$B$5, "No Rating")</f>
        <v>2</v>
      </c>
    </row>
    <row r="73" spans="2:13" x14ac:dyDescent="0.25">
      <c r="B73" t="s">
        <v>121</v>
      </c>
      <c r="C73" t="s">
        <v>8</v>
      </c>
      <c r="D73">
        <v>30</v>
      </c>
      <c r="E73" t="s">
        <v>24</v>
      </c>
      <c r="F73" s="5">
        <v>44328</v>
      </c>
      <c r="G73" t="s">
        <v>21</v>
      </c>
      <c r="H73">
        <v>67910</v>
      </c>
      <c r="I73" t="s">
        <v>206</v>
      </c>
      <c r="J73" s="7">
        <f ca="1">(TODAY() - staff[[#This Row],[Date Joined]]) / 365</f>
        <v>4.580821917808219</v>
      </c>
      <c r="K73" s="19">
        <f ca="1">ROUNDUP(IF(staff[[#This Row],[Tenure]]&gt;2, 3%, 2%) * staff[[#This Row],[Salary]],0)</f>
        <v>2038</v>
      </c>
      <c r="L73" cm="1">
        <f t="array" ref="L73">_xlfn.IFS(staff[[#This Row],[Rating]]="Exceptional", 5, staff[[#This Row],[Rating]]="Above average", 4, staff[[#This Row],[Rating]]="Average", 3, staff[[#This Row],[Rating]]="Poor", 2, staff[[#This Row],[Rating]]="Very poor", 1)</f>
        <v>2</v>
      </c>
      <c r="M73">
        <f>_xlfn.XLOOKUP(staff[[#This Row],[Rating]],'Lookup Array'!$A$1:$A$5, 'Lookup Array'!$B$1:$B$5, "No Rating")</f>
        <v>2</v>
      </c>
    </row>
    <row r="74" spans="2:13" x14ac:dyDescent="0.25">
      <c r="B74" t="s">
        <v>45</v>
      </c>
      <c r="C74" t="s">
        <v>15</v>
      </c>
      <c r="D74">
        <v>30</v>
      </c>
      <c r="E74" t="s">
        <v>16</v>
      </c>
      <c r="F74" s="5">
        <v>44701</v>
      </c>
      <c r="G74" t="s">
        <v>9</v>
      </c>
      <c r="H74">
        <v>67950</v>
      </c>
      <c r="I74" t="s">
        <v>204</v>
      </c>
      <c r="J74" s="7">
        <f ca="1">(TODAY() - staff[[#This Row],[Date Joined]]) / 365</f>
        <v>3.558904109589041</v>
      </c>
      <c r="K74" s="19">
        <f ca="1">ROUNDUP(IF(staff[[#This Row],[Tenure]]&gt;2, 3%, 2%) * staff[[#This Row],[Salary]],0)</f>
        <v>2039</v>
      </c>
      <c r="L74" cm="1">
        <f t="array" ref="L74">_xlfn.IFS(staff[[#This Row],[Rating]]="Exceptional", 5, staff[[#This Row],[Rating]]="Above average", 4, staff[[#This Row],[Rating]]="Average", 3, staff[[#This Row],[Rating]]="Poor", 2, staff[[#This Row],[Rating]]="Very poor", 1)</f>
        <v>3</v>
      </c>
      <c r="M74">
        <f>_xlfn.XLOOKUP(staff[[#This Row],[Rating]],'Lookup Array'!$A$1:$A$5, 'Lookup Array'!$B$1:$B$5, "No Rating")</f>
        <v>3</v>
      </c>
    </row>
    <row r="75" spans="2:13" x14ac:dyDescent="0.25">
      <c r="B75" t="s">
        <v>138</v>
      </c>
      <c r="C75" t="s">
        <v>15</v>
      </c>
      <c r="D75">
        <v>30</v>
      </c>
      <c r="E75" t="s">
        <v>16</v>
      </c>
      <c r="F75" s="5">
        <v>44640</v>
      </c>
      <c r="G75" t="s">
        <v>9</v>
      </c>
      <c r="H75">
        <v>67950</v>
      </c>
      <c r="I75" t="s">
        <v>206</v>
      </c>
      <c r="J75" s="7">
        <f ca="1">(TODAY() - staff[[#This Row],[Date Joined]]) / 365</f>
        <v>3.7260273972602738</v>
      </c>
      <c r="K75" s="19">
        <f ca="1">ROUNDUP(IF(staff[[#This Row],[Tenure]]&gt;2, 3%, 2%) * staff[[#This Row],[Salary]],0)</f>
        <v>2039</v>
      </c>
      <c r="L75" cm="1">
        <f t="array" ref="L75">_xlfn.IFS(staff[[#This Row],[Rating]]="Exceptional", 5, staff[[#This Row],[Rating]]="Above average", 4, staff[[#This Row],[Rating]]="Average", 3, staff[[#This Row],[Rating]]="Poor", 2, staff[[#This Row],[Rating]]="Very poor", 1)</f>
        <v>3</v>
      </c>
      <c r="M75">
        <f>_xlfn.XLOOKUP(staff[[#This Row],[Rating]],'Lookup Array'!$A$1:$A$5, 'Lookup Array'!$B$1:$B$5, "No Rating")</f>
        <v>3</v>
      </c>
    </row>
    <row r="76" spans="2:13" x14ac:dyDescent="0.25">
      <c r="B76" t="s">
        <v>91</v>
      </c>
      <c r="C76" t="s">
        <v>8</v>
      </c>
      <c r="D76">
        <v>20</v>
      </c>
      <c r="E76" t="s">
        <v>24</v>
      </c>
      <c r="F76" s="5">
        <v>44537</v>
      </c>
      <c r="G76" t="s">
        <v>19</v>
      </c>
      <c r="H76">
        <v>68900</v>
      </c>
      <c r="I76" t="s">
        <v>204</v>
      </c>
      <c r="J76" s="7">
        <f ca="1">(TODAY() - staff[[#This Row],[Date Joined]]) / 365</f>
        <v>4.0082191780821921</v>
      </c>
      <c r="K76" s="19">
        <f ca="1">ROUNDUP(IF(staff[[#This Row],[Tenure]]&gt;2, 3%, 2%) * staff[[#This Row],[Salary]],0)</f>
        <v>2067</v>
      </c>
      <c r="L76" cm="1">
        <f t="array" ref="L76">_xlfn.IFS(staff[[#This Row],[Rating]]="Exceptional", 5, staff[[#This Row],[Rating]]="Above average", 4, staff[[#This Row],[Rating]]="Average", 3, staff[[#This Row],[Rating]]="Poor", 2, staff[[#This Row],[Rating]]="Very poor", 1)</f>
        <v>2</v>
      </c>
      <c r="M76">
        <f>_xlfn.XLOOKUP(staff[[#This Row],[Rating]],'Lookup Array'!$A$1:$A$5, 'Lookup Array'!$B$1:$B$5, "No Rating")</f>
        <v>2</v>
      </c>
    </row>
    <row r="77" spans="2:13" x14ac:dyDescent="0.25">
      <c r="B77" t="s">
        <v>184</v>
      </c>
      <c r="C77" t="s">
        <v>8</v>
      </c>
      <c r="D77">
        <v>20</v>
      </c>
      <c r="E77" t="s">
        <v>24</v>
      </c>
      <c r="F77" s="5">
        <v>44476</v>
      </c>
      <c r="G77" t="s">
        <v>19</v>
      </c>
      <c r="H77">
        <v>68900</v>
      </c>
      <c r="I77" t="s">
        <v>206</v>
      </c>
      <c r="J77" s="7">
        <f ca="1">(TODAY() - staff[[#This Row],[Date Joined]]) / 365</f>
        <v>4.1753424657534248</v>
      </c>
      <c r="K77" s="19">
        <f ca="1">ROUNDUP(IF(staff[[#This Row],[Tenure]]&gt;2, 3%, 2%) * staff[[#This Row],[Salary]],0)</f>
        <v>2067</v>
      </c>
      <c r="L77" cm="1">
        <f t="array" ref="L77">_xlfn.IFS(staff[[#This Row],[Rating]]="Exceptional", 5, staff[[#This Row],[Rating]]="Above average", 4, staff[[#This Row],[Rating]]="Average", 3, staff[[#This Row],[Rating]]="Poor", 2, staff[[#This Row],[Rating]]="Very poor", 1)</f>
        <v>2</v>
      </c>
      <c r="M77">
        <f>_xlfn.XLOOKUP(staff[[#This Row],[Rating]],'Lookup Array'!$A$1:$A$5, 'Lookup Array'!$B$1:$B$5, "No Rating")</f>
        <v>2</v>
      </c>
    </row>
    <row r="78" spans="2:13" x14ac:dyDescent="0.25">
      <c r="B78" t="s">
        <v>97</v>
      </c>
      <c r="C78" t="s">
        <v>15</v>
      </c>
      <c r="D78">
        <v>37</v>
      </c>
      <c r="E78" t="s">
        <v>16</v>
      </c>
      <c r="F78" s="5">
        <v>44701</v>
      </c>
      <c r="G78" t="s">
        <v>12</v>
      </c>
      <c r="H78">
        <v>69070</v>
      </c>
      <c r="I78" t="s">
        <v>204</v>
      </c>
      <c r="J78" s="7">
        <f ca="1">(TODAY() - staff[[#This Row],[Date Joined]]) / 365</f>
        <v>3.558904109589041</v>
      </c>
      <c r="K78" s="19">
        <f ca="1">ROUNDUP(IF(staff[[#This Row],[Tenure]]&gt;2, 3%, 2%) * staff[[#This Row],[Salary]],0)</f>
        <v>2073</v>
      </c>
      <c r="L78" cm="1">
        <f t="array" ref="L78">_xlfn.IFS(staff[[#This Row],[Rating]]="Exceptional", 5, staff[[#This Row],[Rating]]="Above average", 4, staff[[#This Row],[Rating]]="Average", 3, staff[[#This Row],[Rating]]="Poor", 2, staff[[#This Row],[Rating]]="Very poor", 1)</f>
        <v>3</v>
      </c>
      <c r="M78">
        <f>_xlfn.XLOOKUP(staff[[#This Row],[Rating]],'Lookup Array'!$A$1:$A$5, 'Lookup Array'!$B$1:$B$5, "No Rating")</f>
        <v>3</v>
      </c>
    </row>
    <row r="79" spans="2:13" x14ac:dyDescent="0.25">
      <c r="B79" t="s">
        <v>190</v>
      </c>
      <c r="C79" t="s">
        <v>15</v>
      </c>
      <c r="D79">
        <v>37</v>
      </c>
      <c r="E79" t="s">
        <v>16</v>
      </c>
      <c r="F79" s="5">
        <v>44640</v>
      </c>
      <c r="G79" t="s">
        <v>12</v>
      </c>
      <c r="H79">
        <v>69070</v>
      </c>
      <c r="I79" t="s">
        <v>206</v>
      </c>
      <c r="J79" s="7">
        <f ca="1">(TODAY() - staff[[#This Row],[Date Joined]]) / 365</f>
        <v>3.7260273972602738</v>
      </c>
      <c r="K79" s="19">
        <f ca="1">ROUNDUP(IF(staff[[#This Row],[Tenure]]&gt;2, 3%, 2%) * staff[[#This Row],[Salary]],0)</f>
        <v>2073</v>
      </c>
      <c r="L79" cm="1">
        <f t="array" ref="L79">_xlfn.IFS(staff[[#This Row],[Rating]]="Exceptional", 5, staff[[#This Row],[Rating]]="Above average", 4, staff[[#This Row],[Rating]]="Average", 3, staff[[#This Row],[Rating]]="Poor", 2, staff[[#This Row],[Rating]]="Very poor", 1)</f>
        <v>3</v>
      </c>
      <c r="M79">
        <f>_xlfn.XLOOKUP(staff[[#This Row],[Rating]],'Lookup Array'!$A$1:$A$5, 'Lookup Array'!$B$1:$B$5, "No Rating")</f>
        <v>3</v>
      </c>
    </row>
    <row r="80" spans="2:13" x14ac:dyDescent="0.25">
      <c r="B80" t="s">
        <v>25</v>
      </c>
      <c r="C80" t="s">
        <v>15</v>
      </c>
      <c r="D80">
        <v>30</v>
      </c>
      <c r="E80" t="s">
        <v>16</v>
      </c>
      <c r="F80" s="5">
        <v>44273</v>
      </c>
      <c r="G80" t="s">
        <v>12</v>
      </c>
      <c r="H80">
        <v>69120</v>
      </c>
      <c r="I80" t="s">
        <v>204</v>
      </c>
      <c r="J80" s="7">
        <f ca="1">(TODAY() - staff[[#This Row],[Date Joined]]) / 365</f>
        <v>4.7315068493150685</v>
      </c>
      <c r="K80" s="19">
        <f ca="1">ROUNDUP(IF(staff[[#This Row],[Tenure]]&gt;2, 3%, 2%) * staff[[#This Row],[Salary]],0)</f>
        <v>2074</v>
      </c>
      <c r="L80" cm="1">
        <f t="array" ref="L80">_xlfn.IFS(staff[[#This Row],[Rating]]="Exceptional", 5, staff[[#This Row],[Rating]]="Above average", 4, staff[[#This Row],[Rating]]="Average", 3, staff[[#This Row],[Rating]]="Poor", 2, staff[[#This Row],[Rating]]="Very poor", 1)</f>
        <v>3</v>
      </c>
      <c r="M80">
        <f>_xlfn.XLOOKUP(staff[[#This Row],[Rating]],'Lookup Array'!$A$1:$A$5, 'Lookup Array'!$B$1:$B$5, "No Rating")</f>
        <v>3</v>
      </c>
    </row>
    <row r="81" spans="2:13" x14ac:dyDescent="0.25">
      <c r="B81" t="s">
        <v>119</v>
      </c>
      <c r="C81" t="s">
        <v>15</v>
      </c>
      <c r="D81">
        <v>30</v>
      </c>
      <c r="E81" t="s">
        <v>16</v>
      </c>
      <c r="F81" s="5">
        <v>44214</v>
      </c>
      <c r="G81" t="s">
        <v>12</v>
      </c>
      <c r="H81">
        <v>69120</v>
      </c>
      <c r="I81" t="s">
        <v>206</v>
      </c>
      <c r="J81" s="7">
        <f ca="1">(TODAY() - staff[[#This Row],[Date Joined]]) / 365</f>
        <v>4.8931506849315065</v>
      </c>
      <c r="K81" s="19">
        <f ca="1">ROUNDUP(IF(staff[[#This Row],[Tenure]]&gt;2, 3%, 2%) * staff[[#This Row],[Salary]],0)</f>
        <v>2074</v>
      </c>
      <c r="L81" cm="1">
        <f t="array" ref="L81">_xlfn.IFS(staff[[#This Row],[Rating]]="Exceptional", 5, staff[[#This Row],[Rating]]="Above average", 4, staff[[#This Row],[Rating]]="Average", 3, staff[[#This Row],[Rating]]="Poor", 2, staff[[#This Row],[Rating]]="Very poor", 1)</f>
        <v>3</v>
      </c>
      <c r="M81">
        <f>_xlfn.XLOOKUP(staff[[#This Row],[Rating]],'Lookup Array'!$A$1:$A$5, 'Lookup Array'!$B$1:$B$5, "No Rating")</f>
        <v>3</v>
      </c>
    </row>
    <row r="82" spans="2:13" x14ac:dyDescent="0.25">
      <c r="B82" t="s">
        <v>67</v>
      </c>
      <c r="C82" t="s">
        <v>15</v>
      </c>
      <c r="D82">
        <v>30</v>
      </c>
      <c r="E82" t="s">
        <v>16</v>
      </c>
      <c r="F82" s="5">
        <v>44850</v>
      </c>
      <c r="G82" t="s">
        <v>12</v>
      </c>
      <c r="H82">
        <v>69710</v>
      </c>
      <c r="I82" t="s">
        <v>204</v>
      </c>
      <c r="J82" s="7">
        <f ca="1">(TODAY() - staff[[#This Row],[Date Joined]]) / 365</f>
        <v>3.1506849315068495</v>
      </c>
      <c r="K82" s="19">
        <f ca="1">ROUNDUP(IF(staff[[#This Row],[Tenure]]&gt;2, 3%, 2%) * staff[[#This Row],[Salary]],0)</f>
        <v>2092</v>
      </c>
      <c r="L82" cm="1">
        <f t="array" ref="L82">_xlfn.IFS(staff[[#This Row],[Rating]]="Exceptional", 5, staff[[#This Row],[Rating]]="Above average", 4, staff[[#This Row],[Rating]]="Average", 3, staff[[#This Row],[Rating]]="Poor", 2, staff[[#This Row],[Rating]]="Very poor", 1)</f>
        <v>3</v>
      </c>
      <c r="M82">
        <f>_xlfn.XLOOKUP(staff[[#This Row],[Rating]],'Lookup Array'!$A$1:$A$5, 'Lookup Array'!$B$1:$B$5, "No Rating")</f>
        <v>3</v>
      </c>
    </row>
    <row r="83" spans="2:13" x14ac:dyDescent="0.25">
      <c r="B83" t="s">
        <v>159</v>
      </c>
      <c r="C83" t="s">
        <v>15</v>
      </c>
      <c r="D83">
        <v>30</v>
      </c>
      <c r="E83" t="s">
        <v>16</v>
      </c>
      <c r="F83" s="5">
        <v>44789</v>
      </c>
      <c r="G83" t="s">
        <v>12</v>
      </c>
      <c r="H83">
        <v>69710</v>
      </c>
      <c r="I83" t="s">
        <v>206</v>
      </c>
      <c r="J83" s="7">
        <f ca="1">(TODAY() - staff[[#This Row],[Date Joined]]) / 365</f>
        <v>3.3178082191780822</v>
      </c>
      <c r="K83" s="19">
        <f ca="1">ROUNDUP(IF(staff[[#This Row],[Tenure]]&gt;2, 3%, 2%) * staff[[#This Row],[Salary]],0)</f>
        <v>2092</v>
      </c>
      <c r="L83" cm="1">
        <f t="array" ref="L83">_xlfn.IFS(staff[[#This Row],[Rating]]="Exceptional", 5, staff[[#This Row],[Rating]]="Above average", 4, staff[[#This Row],[Rating]]="Average", 3, staff[[#This Row],[Rating]]="Poor", 2, staff[[#This Row],[Rating]]="Very poor", 1)</f>
        <v>3</v>
      </c>
      <c r="M83">
        <f>_xlfn.XLOOKUP(staff[[#This Row],[Rating]],'Lookup Array'!$A$1:$A$5, 'Lookup Array'!$B$1:$B$5, "No Rating")</f>
        <v>3</v>
      </c>
    </row>
    <row r="84" spans="2:13" x14ac:dyDescent="0.25">
      <c r="B84" t="s">
        <v>90</v>
      </c>
      <c r="C84" t="s">
        <v>15</v>
      </c>
      <c r="D84">
        <v>42</v>
      </c>
      <c r="E84" t="s">
        <v>24</v>
      </c>
      <c r="F84" s="5">
        <v>44731</v>
      </c>
      <c r="G84" t="s">
        <v>21</v>
      </c>
      <c r="H84">
        <v>70270</v>
      </c>
      <c r="I84" t="s">
        <v>204</v>
      </c>
      <c r="J84" s="7">
        <f ca="1">(TODAY() - staff[[#This Row],[Date Joined]]) / 365</f>
        <v>3.4767123287671233</v>
      </c>
      <c r="K84" s="19">
        <f ca="1">ROUNDUP(IF(staff[[#This Row],[Tenure]]&gt;2, 3%, 2%) * staff[[#This Row],[Salary]],0)</f>
        <v>2109</v>
      </c>
      <c r="L84" cm="1">
        <f t="array" ref="L84">_xlfn.IFS(staff[[#This Row],[Rating]]="Exceptional", 5, staff[[#This Row],[Rating]]="Above average", 4, staff[[#This Row],[Rating]]="Average", 3, staff[[#This Row],[Rating]]="Poor", 2, staff[[#This Row],[Rating]]="Very poor", 1)</f>
        <v>2</v>
      </c>
      <c r="M84">
        <f>_xlfn.XLOOKUP(staff[[#This Row],[Rating]],'Lookup Array'!$A$1:$A$5, 'Lookup Array'!$B$1:$B$5, "No Rating")</f>
        <v>2</v>
      </c>
    </row>
    <row r="85" spans="2:13" x14ac:dyDescent="0.25">
      <c r="B85" t="s">
        <v>183</v>
      </c>
      <c r="C85" t="s">
        <v>15</v>
      </c>
      <c r="D85">
        <v>42</v>
      </c>
      <c r="E85" t="s">
        <v>24</v>
      </c>
      <c r="F85" s="5">
        <v>44670</v>
      </c>
      <c r="G85" t="s">
        <v>21</v>
      </c>
      <c r="H85">
        <v>70270</v>
      </c>
      <c r="I85" t="s">
        <v>206</v>
      </c>
      <c r="J85" s="7">
        <f ca="1">(TODAY() - staff[[#This Row],[Date Joined]]) / 365</f>
        <v>3.6438356164383561</v>
      </c>
      <c r="K85" s="19">
        <f ca="1">ROUNDUP(IF(staff[[#This Row],[Tenure]]&gt;2, 3%, 2%) * staff[[#This Row],[Salary]],0)</f>
        <v>2109</v>
      </c>
      <c r="L85" cm="1">
        <f t="array" ref="L85">_xlfn.IFS(staff[[#This Row],[Rating]]="Exceptional", 5, staff[[#This Row],[Rating]]="Above average", 4, staff[[#This Row],[Rating]]="Average", 3, staff[[#This Row],[Rating]]="Poor", 2, staff[[#This Row],[Rating]]="Very poor", 1)</f>
        <v>2</v>
      </c>
      <c r="M85">
        <f>_xlfn.XLOOKUP(staff[[#This Row],[Rating]],'Lookup Array'!$A$1:$A$5, 'Lookup Array'!$B$1:$B$5, "No Rating")</f>
        <v>2</v>
      </c>
    </row>
    <row r="86" spans="2:13" x14ac:dyDescent="0.25">
      <c r="B86" t="s">
        <v>70</v>
      </c>
      <c r="C86" t="s">
        <v>15</v>
      </c>
      <c r="D86">
        <v>46</v>
      </c>
      <c r="E86" t="s">
        <v>16</v>
      </c>
      <c r="F86" s="5">
        <v>44758</v>
      </c>
      <c r="G86" t="s">
        <v>9</v>
      </c>
      <c r="H86">
        <v>70610</v>
      </c>
      <c r="I86" t="s">
        <v>204</v>
      </c>
      <c r="J86" s="7">
        <f ca="1">(TODAY() - staff[[#This Row],[Date Joined]]) / 365</f>
        <v>3.4027397260273973</v>
      </c>
      <c r="K86" s="19">
        <f ca="1">ROUNDUP(IF(staff[[#This Row],[Tenure]]&gt;2, 3%, 2%) * staff[[#This Row],[Salary]],0)</f>
        <v>2119</v>
      </c>
      <c r="L86" cm="1">
        <f t="array" ref="L86">_xlfn.IFS(staff[[#This Row],[Rating]]="Exceptional", 5, staff[[#This Row],[Rating]]="Above average", 4, staff[[#This Row],[Rating]]="Average", 3, staff[[#This Row],[Rating]]="Poor", 2, staff[[#This Row],[Rating]]="Very poor", 1)</f>
        <v>3</v>
      </c>
      <c r="M86">
        <f>_xlfn.XLOOKUP(staff[[#This Row],[Rating]],'Lookup Array'!$A$1:$A$5, 'Lookup Array'!$B$1:$B$5, "No Rating")</f>
        <v>3</v>
      </c>
    </row>
    <row r="87" spans="2:13" x14ac:dyDescent="0.25">
      <c r="B87" t="s">
        <v>162</v>
      </c>
      <c r="C87" t="s">
        <v>15</v>
      </c>
      <c r="D87">
        <v>46</v>
      </c>
      <c r="E87" t="s">
        <v>16</v>
      </c>
      <c r="F87" s="5">
        <v>44697</v>
      </c>
      <c r="G87" t="s">
        <v>9</v>
      </c>
      <c r="H87">
        <v>70610</v>
      </c>
      <c r="I87" t="s">
        <v>206</v>
      </c>
      <c r="J87" s="7">
        <f ca="1">(TODAY() - staff[[#This Row],[Date Joined]]) / 365</f>
        <v>3.56986301369863</v>
      </c>
      <c r="K87" s="19">
        <f ca="1">ROUNDUP(IF(staff[[#This Row],[Tenure]]&gt;2, 3%, 2%) * staff[[#This Row],[Salary]],0)</f>
        <v>2119</v>
      </c>
      <c r="L87" cm="1">
        <f t="array" ref="L87">_xlfn.IFS(staff[[#This Row],[Rating]]="Exceptional", 5, staff[[#This Row],[Rating]]="Above average", 4, staff[[#This Row],[Rating]]="Average", 3, staff[[#This Row],[Rating]]="Poor", 2, staff[[#This Row],[Rating]]="Very poor", 1)</f>
        <v>3</v>
      </c>
      <c r="M87">
        <f>_xlfn.XLOOKUP(staff[[#This Row],[Rating]],'Lookup Array'!$A$1:$A$5, 'Lookup Array'!$B$1:$B$5, "No Rating")</f>
        <v>3</v>
      </c>
    </row>
    <row r="88" spans="2:13" x14ac:dyDescent="0.25">
      <c r="B88" t="s">
        <v>94</v>
      </c>
      <c r="C88" t="s">
        <v>15</v>
      </c>
      <c r="D88">
        <v>36</v>
      </c>
      <c r="E88" t="s">
        <v>16</v>
      </c>
      <c r="F88" s="5">
        <v>44333</v>
      </c>
      <c r="G88" t="s">
        <v>21</v>
      </c>
      <c r="H88">
        <v>71380</v>
      </c>
      <c r="I88" t="s">
        <v>204</v>
      </c>
      <c r="J88" s="7">
        <f ca="1">(TODAY() - staff[[#This Row],[Date Joined]]) / 365</f>
        <v>4.5671232876712331</v>
      </c>
      <c r="K88" s="19">
        <f ca="1">ROUNDUP(IF(staff[[#This Row],[Tenure]]&gt;2, 3%, 2%) * staff[[#This Row],[Salary]],0)</f>
        <v>2142</v>
      </c>
      <c r="L88" cm="1">
        <f t="array" ref="L88">_xlfn.IFS(staff[[#This Row],[Rating]]="Exceptional", 5, staff[[#This Row],[Rating]]="Above average", 4, staff[[#This Row],[Rating]]="Average", 3, staff[[#This Row],[Rating]]="Poor", 2, staff[[#This Row],[Rating]]="Very poor", 1)</f>
        <v>3</v>
      </c>
      <c r="M88">
        <f>_xlfn.XLOOKUP(staff[[#This Row],[Rating]],'Lookup Array'!$A$1:$A$5, 'Lookup Array'!$B$1:$B$5, "No Rating")</f>
        <v>3</v>
      </c>
    </row>
    <row r="89" spans="2:13" x14ac:dyDescent="0.25">
      <c r="B89" t="s">
        <v>187</v>
      </c>
      <c r="C89" t="s">
        <v>15</v>
      </c>
      <c r="D89">
        <v>36</v>
      </c>
      <c r="E89" t="s">
        <v>16</v>
      </c>
      <c r="F89" s="5">
        <v>44272</v>
      </c>
      <c r="G89" t="s">
        <v>21</v>
      </c>
      <c r="H89">
        <v>71380</v>
      </c>
      <c r="I89" t="s">
        <v>206</v>
      </c>
      <c r="J89" s="7">
        <f ca="1">(TODAY() - staff[[#This Row],[Date Joined]]) / 365</f>
        <v>4.7342465753424658</v>
      </c>
      <c r="K89" s="19">
        <f ca="1">ROUNDUP(IF(staff[[#This Row],[Tenure]]&gt;2, 3%, 2%) * staff[[#This Row],[Salary]],0)</f>
        <v>2142</v>
      </c>
      <c r="L89" cm="1">
        <f t="array" ref="L89">_xlfn.IFS(staff[[#This Row],[Rating]]="Exceptional", 5, staff[[#This Row],[Rating]]="Above average", 4, staff[[#This Row],[Rating]]="Average", 3, staff[[#This Row],[Rating]]="Poor", 2, staff[[#This Row],[Rating]]="Very poor", 1)</f>
        <v>3</v>
      </c>
      <c r="M89">
        <f>_xlfn.XLOOKUP(staff[[#This Row],[Rating]],'Lookup Array'!$A$1:$A$5, 'Lookup Array'!$B$1:$B$5, "No Rating")</f>
        <v>3</v>
      </c>
    </row>
    <row r="90" spans="2:13" x14ac:dyDescent="0.25">
      <c r="B90" t="s">
        <v>18</v>
      </c>
      <c r="C90" t="s">
        <v>15</v>
      </c>
      <c r="D90">
        <v>33</v>
      </c>
      <c r="E90" t="s">
        <v>16</v>
      </c>
      <c r="F90" s="5">
        <v>44385</v>
      </c>
      <c r="G90" t="s">
        <v>19</v>
      </c>
      <c r="H90">
        <v>74550</v>
      </c>
      <c r="I90" t="s">
        <v>204</v>
      </c>
      <c r="J90" s="7">
        <f ca="1">(TODAY() - staff[[#This Row],[Date Joined]]) / 365</f>
        <v>4.4246575342465757</v>
      </c>
      <c r="K90" s="19">
        <f ca="1">ROUNDUP(IF(staff[[#This Row],[Tenure]]&gt;2, 3%, 2%) * staff[[#This Row],[Salary]],0)</f>
        <v>2237</v>
      </c>
      <c r="L90" cm="1">
        <f t="array" ref="L90">_xlfn.IFS(staff[[#This Row],[Rating]]="Exceptional", 5, staff[[#This Row],[Rating]]="Above average", 4, staff[[#This Row],[Rating]]="Average", 3, staff[[#This Row],[Rating]]="Poor", 2, staff[[#This Row],[Rating]]="Very poor", 1)</f>
        <v>3</v>
      </c>
      <c r="M90">
        <f>_xlfn.XLOOKUP(staff[[#This Row],[Rating]],'Lookup Array'!$A$1:$A$5, 'Lookup Array'!$B$1:$B$5, "No Rating")</f>
        <v>3</v>
      </c>
    </row>
    <row r="91" spans="2:13" x14ac:dyDescent="0.25">
      <c r="B91" t="s">
        <v>115</v>
      </c>
      <c r="C91" t="s">
        <v>15</v>
      </c>
      <c r="D91">
        <v>33</v>
      </c>
      <c r="E91" t="s">
        <v>16</v>
      </c>
      <c r="F91" s="5">
        <v>44324</v>
      </c>
      <c r="G91" t="s">
        <v>19</v>
      </c>
      <c r="H91">
        <v>74550</v>
      </c>
      <c r="I91" t="s">
        <v>206</v>
      </c>
      <c r="J91" s="7">
        <f ca="1">(TODAY() - staff[[#This Row],[Date Joined]]) / 365</f>
        <v>4.5917808219178085</v>
      </c>
      <c r="K91" s="19">
        <f ca="1">ROUNDUP(IF(staff[[#This Row],[Tenure]]&gt;2, 3%, 2%) * staff[[#This Row],[Salary]],0)</f>
        <v>2237</v>
      </c>
      <c r="L91" cm="1">
        <f t="array" ref="L91">_xlfn.IFS(staff[[#This Row],[Rating]]="Exceptional", 5, staff[[#This Row],[Rating]]="Above average", 4, staff[[#This Row],[Rating]]="Average", 3, staff[[#This Row],[Rating]]="Poor", 2, staff[[#This Row],[Rating]]="Very poor", 1)</f>
        <v>3</v>
      </c>
      <c r="M91">
        <f>_xlfn.XLOOKUP(staff[[#This Row],[Rating]],'Lookup Array'!$A$1:$A$5, 'Lookup Array'!$B$1:$B$5, "No Rating")</f>
        <v>3</v>
      </c>
    </row>
    <row r="92" spans="2:13" x14ac:dyDescent="0.25">
      <c r="B92" t="s">
        <v>7</v>
      </c>
      <c r="C92" t="s">
        <v>8</v>
      </c>
      <c r="D92">
        <v>42</v>
      </c>
      <c r="E92" t="s">
        <v>10</v>
      </c>
      <c r="F92" s="5">
        <v>44779</v>
      </c>
      <c r="G92" t="s">
        <v>9</v>
      </c>
      <c r="H92">
        <v>75000</v>
      </c>
      <c r="I92" t="s">
        <v>204</v>
      </c>
      <c r="J92" s="7">
        <f ca="1">(TODAY() - staff[[#This Row],[Date Joined]]) / 365</f>
        <v>3.3452054794520549</v>
      </c>
      <c r="K92" s="19">
        <f ca="1">ROUNDUP(IF(staff[[#This Row],[Tenure]]&gt;2, 3%, 2%) * staff[[#This Row],[Salary]],0)</f>
        <v>2250</v>
      </c>
      <c r="L92" cm="1">
        <f t="array" ref="L92">_xlfn.IFS(staff[[#This Row],[Rating]]="Exceptional", 5, staff[[#This Row],[Rating]]="Above average", 4, staff[[#This Row],[Rating]]="Average", 3, staff[[#This Row],[Rating]]="Poor", 2, staff[[#This Row],[Rating]]="Very poor", 1)</f>
        <v>5</v>
      </c>
      <c r="M92">
        <f>_xlfn.XLOOKUP(staff[[#This Row],[Rating]],'Lookup Array'!$A$1:$A$5, 'Lookup Array'!$B$1:$B$5, "No Rating")</f>
        <v>5</v>
      </c>
    </row>
    <row r="93" spans="2:13" x14ac:dyDescent="0.25">
      <c r="B93" t="s">
        <v>111</v>
      </c>
      <c r="C93" t="s">
        <v>8</v>
      </c>
      <c r="D93">
        <v>42</v>
      </c>
      <c r="E93" t="s">
        <v>10</v>
      </c>
      <c r="F93" s="5">
        <v>44718</v>
      </c>
      <c r="G93" t="s">
        <v>9</v>
      </c>
      <c r="H93">
        <v>75000</v>
      </c>
      <c r="I93" t="s">
        <v>206</v>
      </c>
      <c r="J93" s="7">
        <f ca="1">(TODAY() - staff[[#This Row],[Date Joined]]) / 365</f>
        <v>3.5123287671232877</v>
      </c>
      <c r="K93" s="19">
        <f ca="1">ROUNDUP(IF(staff[[#This Row],[Tenure]]&gt;2, 3%, 2%) * staff[[#This Row],[Salary]],0)</f>
        <v>2250</v>
      </c>
      <c r="L93" cm="1">
        <f t="array" ref="L93">_xlfn.IFS(staff[[#This Row],[Rating]]="Exceptional", 5, staff[[#This Row],[Rating]]="Above average", 4, staff[[#This Row],[Rating]]="Average", 3, staff[[#This Row],[Rating]]="Poor", 2, staff[[#This Row],[Rating]]="Very poor", 1)</f>
        <v>5</v>
      </c>
      <c r="M93">
        <f>_xlfn.XLOOKUP(staff[[#This Row],[Rating]],'Lookup Array'!$A$1:$A$5, 'Lookup Array'!$B$1:$B$5, "No Rating")</f>
        <v>5</v>
      </c>
    </row>
    <row r="94" spans="2:13" x14ac:dyDescent="0.25">
      <c r="B94" t="s">
        <v>95</v>
      </c>
      <c r="C94" t="s">
        <v>8</v>
      </c>
      <c r="D94">
        <v>33</v>
      </c>
      <c r="E94" t="s">
        <v>16</v>
      </c>
      <c r="F94" s="5">
        <v>44312</v>
      </c>
      <c r="G94" t="s">
        <v>12</v>
      </c>
      <c r="H94">
        <v>75280</v>
      </c>
      <c r="I94" t="s">
        <v>204</v>
      </c>
      <c r="J94" s="7">
        <f ca="1">(TODAY() - staff[[#This Row],[Date Joined]]) / 365</f>
        <v>4.624657534246575</v>
      </c>
      <c r="K94" s="19">
        <f ca="1">ROUNDUP(IF(staff[[#This Row],[Tenure]]&gt;2, 3%, 2%) * staff[[#This Row],[Salary]],0)</f>
        <v>2259</v>
      </c>
      <c r="L94" cm="1">
        <f t="array" ref="L94">_xlfn.IFS(staff[[#This Row],[Rating]]="Exceptional", 5, staff[[#This Row],[Rating]]="Above average", 4, staff[[#This Row],[Rating]]="Average", 3, staff[[#This Row],[Rating]]="Poor", 2, staff[[#This Row],[Rating]]="Very poor", 1)</f>
        <v>3</v>
      </c>
      <c r="M94">
        <f>_xlfn.XLOOKUP(staff[[#This Row],[Rating]],'Lookup Array'!$A$1:$A$5, 'Lookup Array'!$B$1:$B$5, "No Rating")</f>
        <v>3</v>
      </c>
    </row>
    <row r="95" spans="2:13" x14ac:dyDescent="0.25">
      <c r="B95" t="s">
        <v>188</v>
      </c>
      <c r="C95" t="s">
        <v>8</v>
      </c>
      <c r="D95">
        <v>33</v>
      </c>
      <c r="E95" t="s">
        <v>16</v>
      </c>
      <c r="F95" s="5">
        <v>44253</v>
      </c>
      <c r="G95" t="s">
        <v>12</v>
      </c>
      <c r="H95">
        <v>75280</v>
      </c>
      <c r="I95" t="s">
        <v>206</v>
      </c>
      <c r="J95" s="7">
        <f ca="1">(TODAY() - staff[[#This Row],[Date Joined]]) / 365</f>
        <v>4.7863013698630139</v>
      </c>
      <c r="K95" s="19">
        <f ca="1">ROUNDUP(IF(staff[[#This Row],[Tenure]]&gt;2, 3%, 2%) * staff[[#This Row],[Salary]],0)</f>
        <v>2259</v>
      </c>
      <c r="L95" cm="1">
        <f t="array" ref="L95">_xlfn.IFS(staff[[#This Row],[Rating]]="Exceptional", 5, staff[[#This Row],[Rating]]="Above average", 4, staff[[#This Row],[Rating]]="Average", 3, staff[[#This Row],[Rating]]="Poor", 2, staff[[#This Row],[Rating]]="Very poor", 1)</f>
        <v>3</v>
      </c>
      <c r="M95">
        <f>_xlfn.XLOOKUP(staff[[#This Row],[Rating]],'Lookup Array'!$A$1:$A$5, 'Lookup Array'!$B$1:$B$5, "No Rating")</f>
        <v>3</v>
      </c>
    </row>
    <row r="96" spans="2:13" x14ac:dyDescent="0.25">
      <c r="B96" t="s">
        <v>41</v>
      </c>
      <c r="C96" t="s">
        <v>8</v>
      </c>
      <c r="D96">
        <v>33</v>
      </c>
      <c r="E96" t="s">
        <v>42</v>
      </c>
      <c r="F96" s="5">
        <v>44374</v>
      </c>
      <c r="G96" t="s">
        <v>12</v>
      </c>
      <c r="H96">
        <v>75480</v>
      </c>
      <c r="I96" t="s">
        <v>204</v>
      </c>
      <c r="J96" s="7">
        <f ca="1">(TODAY() - staff[[#This Row],[Date Joined]]) / 365</f>
        <v>4.4547945205479449</v>
      </c>
      <c r="K96" s="19">
        <f ca="1">ROUNDUP(IF(staff[[#This Row],[Tenure]]&gt;2, 3%, 2%) * staff[[#This Row],[Salary]],0)</f>
        <v>2265</v>
      </c>
      <c r="L96" cm="1">
        <f t="array" ref="L96">_xlfn.IFS(staff[[#This Row],[Rating]]="Exceptional", 5, staff[[#This Row],[Rating]]="Above average", 4, staff[[#This Row],[Rating]]="Average", 3, staff[[#This Row],[Rating]]="Poor", 2, staff[[#This Row],[Rating]]="Very poor", 1)</f>
        <v>1</v>
      </c>
      <c r="M96">
        <f>_xlfn.XLOOKUP(staff[[#This Row],[Rating]],'Lookup Array'!$A$1:$A$5, 'Lookup Array'!$B$1:$B$5, "No Rating")</f>
        <v>1</v>
      </c>
    </row>
    <row r="97" spans="2:13" x14ac:dyDescent="0.25">
      <c r="B97" t="s">
        <v>135</v>
      </c>
      <c r="C97" t="s">
        <v>8</v>
      </c>
      <c r="D97">
        <v>33</v>
      </c>
      <c r="E97" t="s">
        <v>42</v>
      </c>
      <c r="F97" s="5">
        <v>44313</v>
      </c>
      <c r="G97" t="s">
        <v>12</v>
      </c>
      <c r="H97">
        <v>75480</v>
      </c>
      <c r="I97" t="s">
        <v>206</v>
      </c>
      <c r="J97" s="7">
        <f ca="1">(TODAY() - staff[[#This Row],[Date Joined]]) / 365</f>
        <v>4.6219178082191785</v>
      </c>
      <c r="K97" s="19">
        <f ca="1">ROUNDUP(IF(staff[[#This Row],[Tenure]]&gt;2, 3%, 2%) * staff[[#This Row],[Salary]],0)</f>
        <v>2265</v>
      </c>
      <c r="L97" cm="1">
        <f t="array" ref="L97">_xlfn.IFS(staff[[#This Row],[Rating]]="Exceptional", 5, staff[[#This Row],[Rating]]="Above average", 4, staff[[#This Row],[Rating]]="Average", 3, staff[[#This Row],[Rating]]="Poor", 2, staff[[#This Row],[Rating]]="Very poor", 1)</f>
        <v>1</v>
      </c>
      <c r="M97">
        <f>_xlfn.XLOOKUP(staff[[#This Row],[Rating]],'Lookup Array'!$A$1:$A$5, 'Lookup Array'!$B$1:$B$5, "No Rating")</f>
        <v>1</v>
      </c>
    </row>
    <row r="98" spans="2:13" x14ac:dyDescent="0.25">
      <c r="B98" t="s">
        <v>78</v>
      </c>
      <c r="C98" t="s">
        <v>15</v>
      </c>
      <c r="D98">
        <v>21</v>
      </c>
      <c r="E98" t="s">
        <v>16</v>
      </c>
      <c r="F98" s="5">
        <v>44242</v>
      </c>
      <c r="G98" t="s">
        <v>56</v>
      </c>
      <c r="H98">
        <v>75880</v>
      </c>
      <c r="I98" t="s">
        <v>204</v>
      </c>
      <c r="J98" s="7">
        <f ca="1">(TODAY() - staff[[#This Row],[Date Joined]]) / 365</f>
        <v>4.816438356164384</v>
      </c>
      <c r="K98" s="19">
        <f ca="1">ROUNDUP(IF(staff[[#This Row],[Tenure]]&gt;2, 3%, 2%) * staff[[#This Row],[Salary]],0)</f>
        <v>2277</v>
      </c>
      <c r="L98" cm="1">
        <f t="array" ref="L98">_xlfn.IFS(staff[[#This Row],[Rating]]="Exceptional", 5, staff[[#This Row],[Rating]]="Above average", 4, staff[[#This Row],[Rating]]="Average", 3, staff[[#This Row],[Rating]]="Poor", 2, staff[[#This Row],[Rating]]="Very poor", 1)</f>
        <v>3</v>
      </c>
      <c r="M98">
        <f>_xlfn.XLOOKUP(staff[[#This Row],[Rating]],'Lookup Array'!$A$1:$A$5, 'Lookup Array'!$B$1:$B$5, "No Rating")</f>
        <v>3</v>
      </c>
    </row>
    <row r="99" spans="2:13" x14ac:dyDescent="0.25">
      <c r="B99" t="s">
        <v>170</v>
      </c>
      <c r="C99" t="s">
        <v>15</v>
      </c>
      <c r="D99">
        <v>21</v>
      </c>
      <c r="E99" t="s">
        <v>16</v>
      </c>
      <c r="F99" s="5">
        <v>44180</v>
      </c>
      <c r="G99" t="s">
        <v>56</v>
      </c>
      <c r="H99">
        <v>75880</v>
      </c>
      <c r="I99" t="s">
        <v>206</v>
      </c>
      <c r="J99" s="7">
        <f ca="1">(TODAY() - staff[[#This Row],[Date Joined]]) / 365</f>
        <v>4.9863013698630141</v>
      </c>
      <c r="K99" s="19">
        <f ca="1">ROUNDUP(IF(staff[[#This Row],[Tenure]]&gt;2, 3%, 2%) * staff[[#This Row],[Salary]],0)</f>
        <v>2277</v>
      </c>
      <c r="L99" cm="1">
        <f t="array" ref="L99">_xlfn.IFS(staff[[#This Row],[Rating]]="Exceptional", 5, staff[[#This Row],[Rating]]="Above average", 4, staff[[#This Row],[Rating]]="Average", 3, staff[[#This Row],[Rating]]="Poor", 2, staff[[#This Row],[Rating]]="Very poor", 1)</f>
        <v>3</v>
      </c>
      <c r="M99">
        <f>_xlfn.XLOOKUP(staff[[#This Row],[Rating]],'Lookup Array'!$A$1:$A$5, 'Lookup Array'!$B$1:$B$5, "No Rating")</f>
        <v>3</v>
      </c>
    </row>
    <row r="100" spans="2:13" x14ac:dyDescent="0.25">
      <c r="B100" t="s">
        <v>35</v>
      </c>
      <c r="C100" t="s">
        <v>8</v>
      </c>
      <c r="D100">
        <v>28</v>
      </c>
      <c r="E100" t="s">
        <v>16</v>
      </c>
      <c r="F100" s="5">
        <v>44185</v>
      </c>
      <c r="G100" t="s">
        <v>21</v>
      </c>
      <c r="H100">
        <v>75970</v>
      </c>
      <c r="I100" t="s">
        <v>204</v>
      </c>
      <c r="J100" s="7">
        <f ca="1">(TODAY() - staff[[#This Row],[Date Joined]]) / 365</f>
        <v>4.9726027397260273</v>
      </c>
      <c r="K100" s="19">
        <f ca="1">ROUNDUP(IF(staff[[#This Row],[Tenure]]&gt;2, 3%, 2%) * staff[[#This Row],[Salary]],0)</f>
        <v>2280</v>
      </c>
      <c r="L100" cm="1">
        <f t="array" ref="L100">_xlfn.IFS(staff[[#This Row],[Rating]]="Exceptional", 5, staff[[#This Row],[Rating]]="Above average", 4, staff[[#This Row],[Rating]]="Average", 3, staff[[#This Row],[Rating]]="Poor", 2, staff[[#This Row],[Rating]]="Very poor", 1)</f>
        <v>3</v>
      </c>
      <c r="M100">
        <f>_xlfn.XLOOKUP(staff[[#This Row],[Rating]],'Lookup Array'!$A$1:$A$5, 'Lookup Array'!$B$1:$B$5, "No Rating")</f>
        <v>3</v>
      </c>
    </row>
    <row r="101" spans="2:13" x14ac:dyDescent="0.25">
      <c r="B101" t="s">
        <v>129</v>
      </c>
      <c r="C101" t="s">
        <v>8</v>
      </c>
      <c r="D101">
        <v>28</v>
      </c>
      <c r="E101" t="s">
        <v>16</v>
      </c>
      <c r="F101" s="5">
        <v>44124</v>
      </c>
      <c r="G101" t="s">
        <v>21</v>
      </c>
      <c r="H101">
        <v>75970</v>
      </c>
      <c r="I101" t="s">
        <v>206</v>
      </c>
      <c r="J101" s="7">
        <f ca="1">(TODAY() - staff[[#This Row],[Date Joined]]) / 365</f>
        <v>5.13972602739726</v>
      </c>
      <c r="K101" s="19">
        <f ca="1">ROUNDUP(IF(staff[[#This Row],[Tenure]]&gt;2, 3%, 2%) * staff[[#This Row],[Salary]],0)</f>
        <v>2280</v>
      </c>
      <c r="L101" cm="1">
        <f t="array" ref="L101">_xlfn.IFS(staff[[#This Row],[Rating]]="Exceptional", 5, staff[[#This Row],[Rating]]="Above average", 4, staff[[#This Row],[Rating]]="Average", 3, staff[[#This Row],[Rating]]="Poor", 2, staff[[#This Row],[Rating]]="Very poor", 1)</f>
        <v>3</v>
      </c>
      <c r="M101">
        <f>_xlfn.XLOOKUP(staff[[#This Row],[Rating]],'Lookup Array'!$A$1:$A$5, 'Lookup Array'!$B$1:$B$5, "No Rating")</f>
        <v>3</v>
      </c>
    </row>
    <row r="102" spans="2:13" x14ac:dyDescent="0.25">
      <c r="B102" t="s">
        <v>62</v>
      </c>
      <c r="C102" t="s">
        <v>8</v>
      </c>
      <c r="D102">
        <v>22</v>
      </c>
      <c r="E102" t="s">
        <v>13</v>
      </c>
      <c r="F102" s="5">
        <v>44450</v>
      </c>
      <c r="G102" t="s">
        <v>9</v>
      </c>
      <c r="H102">
        <v>76900</v>
      </c>
      <c r="I102" t="s">
        <v>204</v>
      </c>
      <c r="J102" s="7">
        <f ca="1">(TODAY() - staff[[#This Row],[Date Joined]]) / 365</f>
        <v>4.2465753424657535</v>
      </c>
      <c r="K102" s="19">
        <f ca="1">ROUNDUP(IF(staff[[#This Row],[Tenure]]&gt;2, 3%, 2%) * staff[[#This Row],[Salary]],0)</f>
        <v>2307</v>
      </c>
      <c r="L102" cm="1">
        <f t="array" ref="L102">_xlfn.IFS(staff[[#This Row],[Rating]]="Exceptional", 5, staff[[#This Row],[Rating]]="Above average", 4, staff[[#This Row],[Rating]]="Average", 3, staff[[#This Row],[Rating]]="Poor", 2, staff[[#This Row],[Rating]]="Very poor", 1)</f>
        <v>4</v>
      </c>
      <c r="M102">
        <f>_xlfn.XLOOKUP(staff[[#This Row],[Rating]],'Lookup Array'!$A$1:$A$5, 'Lookup Array'!$B$1:$B$5, "No Rating")</f>
        <v>4</v>
      </c>
    </row>
    <row r="103" spans="2:13" x14ac:dyDescent="0.25">
      <c r="B103" t="s">
        <v>154</v>
      </c>
      <c r="C103" t="s">
        <v>8</v>
      </c>
      <c r="D103">
        <v>22</v>
      </c>
      <c r="E103" t="s">
        <v>13</v>
      </c>
      <c r="F103" s="5">
        <v>44388</v>
      </c>
      <c r="G103" t="s">
        <v>9</v>
      </c>
      <c r="H103">
        <v>76900</v>
      </c>
      <c r="I103" t="s">
        <v>206</v>
      </c>
      <c r="J103" s="7">
        <f ca="1">(TODAY() - staff[[#This Row],[Date Joined]]) / 365</f>
        <v>4.4164383561643836</v>
      </c>
      <c r="K103" s="19">
        <f ca="1">ROUNDUP(IF(staff[[#This Row],[Tenure]]&gt;2, 3%, 2%) * staff[[#This Row],[Salary]],0)</f>
        <v>2307</v>
      </c>
      <c r="L103" cm="1">
        <f t="array" ref="L103">_xlfn.IFS(staff[[#This Row],[Rating]]="Exceptional", 5, staff[[#This Row],[Rating]]="Above average", 4, staff[[#This Row],[Rating]]="Average", 3, staff[[#This Row],[Rating]]="Poor", 2, staff[[#This Row],[Rating]]="Very poor", 1)</f>
        <v>4</v>
      </c>
      <c r="M103">
        <f>_xlfn.XLOOKUP(staff[[#This Row],[Rating]],'Lookup Array'!$A$1:$A$5, 'Lookup Array'!$B$1:$B$5, "No Rating")</f>
        <v>4</v>
      </c>
    </row>
    <row r="104" spans="2:13" x14ac:dyDescent="0.25">
      <c r="B104" t="s">
        <v>72</v>
      </c>
      <c r="C104" t="s">
        <v>8</v>
      </c>
      <c r="D104">
        <v>36</v>
      </c>
      <c r="E104" t="s">
        <v>16</v>
      </c>
      <c r="F104" s="5">
        <v>44529</v>
      </c>
      <c r="G104" t="s">
        <v>9</v>
      </c>
      <c r="H104">
        <v>78390</v>
      </c>
      <c r="I104" t="s">
        <v>204</v>
      </c>
      <c r="J104" s="7">
        <f ca="1">(TODAY() - staff[[#This Row],[Date Joined]]) / 365</f>
        <v>4.0301369863013701</v>
      </c>
      <c r="K104" s="19">
        <f ca="1">ROUNDUP(IF(staff[[#This Row],[Tenure]]&gt;2, 3%, 2%) * staff[[#This Row],[Salary]],0)</f>
        <v>2352</v>
      </c>
      <c r="L104" cm="1">
        <f t="array" ref="L104">_xlfn.IFS(staff[[#This Row],[Rating]]="Exceptional", 5, staff[[#This Row],[Rating]]="Above average", 4, staff[[#This Row],[Rating]]="Average", 3, staff[[#This Row],[Rating]]="Poor", 2, staff[[#This Row],[Rating]]="Very poor", 1)</f>
        <v>3</v>
      </c>
      <c r="M104">
        <f>_xlfn.XLOOKUP(staff[[#This Row],[Rating]],'Lookup Array'!$A$1:$A$5, 'Lookup Array'!$B$1:$B$5, "No Rating")</f>
        <v>3</v>
      </c>
    </row>
    <row r="105" spans="2:13" x14ac:dyDescent="0.25">
      <c r="B105" t="s">
        <v>164</v>
      </c>
      <c r="C105" t="s">
        <v>8</v>
      </c>
      <c r="D105">
        <v>36</v>
      </c>
      <c r="E105" t="s">
        <v>16</v>
      </c>
      <c r="F105" s="5">
        <v>44468</v>
      </c>
      <c r="G105" t="s">
        <v>9</v>
      </c>
      <c r="H105">
        <v>78390</v>
      </c>
      <c r="I105" t="s">
        <v>206</v>
      </c>
      <c r="J105" s="7">
        <f ca="1">(TODAY() - staff[[#This Row],[Date Joined]]) / 365</f>
        <v>4.1972602739726028</v>
      </c>
      <c r="K105" s="19">
        <f ca="1">ROUNDUP(IF(staff[[#This Row],[Tenure]]&gt;2, 3%, 2%) * staff[[#This Row],[Salary]],0)</f>
        <v>2352</v>
      </c>
      <c r="L105" cm="1">
        <f t="array" ref="L105">_xlfn.IFS(staff[[#This Row],[Rating]]="Exceptional", 5, staff[[#This Row],[Rating]]="Above average", 4, staff[[#This Row],[Rating]]="Average", 3, staff[[#This Row],[Rating]]="Poor", 2, staff[[#This Row],[Rating]]="Very poor", 1)</f>
        <v>3</v>
      </c>
      <c r="M105">
        <f>_xlfn.XLOOKUP(staff[[#This Row],[Rating]],'Lookup Array'!$A$1:$A$5, 'Lookup Array'!$B$1:$B$5, "No Rating")</f>
        <v>3</v>
      </c>
    </row>
    <row r="106" spans="2:13" x14ac:dyDescent="0.25">
      <c r="B106" t="s">
        <v>48</v>
      </c>
      <c r="C106" t="s">
        <v>8</v>
      </c>
      <c r="D106">
        <v>36</v>
      </c>
      <c r="E106" t="s">
        <v>16</v>
      </c>
      <c r="F106" s="5">
        <v>44494</v>
      </c>
      <c r="G106" t="s">
        <v>19</v>
      </c>
      <c r="H106">
        <v>78540</v>
      </c>
      <c r="I106" t="s">
        <v>204</v>
      </c>
      <c r="J106" s="7">
        <f ca="1">(TODAY() - staff[[#This Row],[Date Joined]]) / 365</f>
        <v>4.1260273972602741</v>
      </c>
      <c r="K106" s="19">
        <f ca="1">ROUNDUP(IF(staff[[#This Row],[Tenure]]&gt;2, 3%, 2%) * staff[[#This Row],[Salary]],0)</f>
        <v>2357</v>
      </c>
      <c r="L106" cm="1">
        <f t="array" ref="L106">_xlfn.IFS(staff[[#This Row],[Rating]]="Exceptional", 5, staff[[#This Row],[Rating]]="Above average", 4, staff[[#This Row],[Rating]]="Average", 3, staff[[#This Row],[Rating]]="Poor", 2, staff[[#This Row],[Rating]]="Very poor", 1)</f>
        <v>3</v>
      </c>
      <c r="M106">
        <f>_xlfn.XLOOKUP(staff[[#This Row],[Rating]],'Lookup Array'!$A$1:$A$5, 'Lookup Array'!$B$1:$B$5, "No Rating")</f>
        <v>3</v>
      </c>
    </row>
    <row r="107" spans="2:13" x14ac:dyDescent="0.25">
      <c r="B107" t="s">
        <v>141</v>
      </c>
      <c r="C107" t="s">
        <v>8</v>
      </c>
      <c r="D107">
        <v>36</v>
      </c>
      <c r="E107" t="s">
        <v>16</v>
      </c>
      <c r="F107" s="5">
        <v>44433</v>
      </c>
      <c r="G107" t="s">
        <v>19</v>
      </c>
      <c r="H107">
        <v>78540</v>
      </c>
      <c r="I107" t="s">
        <v>206</v>
      </c>
      <c r="J107" s="7">
        <f ca="1">(TODAY() - staff[[#This Row],[Date Joined]]) / 365</f>
        <v>4.2931506849315069</v>
      </c>
      <c r="K107" s="19">
        <f ca="1">ROUNDUP(IF(staff[[#This Row],[Tenure]]&gt;2, 3%, 2%) * staff[[#This Row],[Salary]],0)</f>
        <v>2357</v>
      </c>
      <c r="L107" cm="1">
        <f t="array" ref="L107">_xlfn.IFS(staff[[#This Row],[Rating]]="Exceptional", 5, staff[[#This Row],[Rating]]="Above average", 4, staff[[#This Row],[Rating]]="Average", 3, staff[[#This Row],[Rating]]="Poor", 2, staff[[#This Row],[Rating]]="Very poor", 1)</f>
        <v>3</v>
      </c>
      <c r="M107">
        <f>_xlfn.XLOOKUP(staff[[#This Row],[Rating]],'Lookup Array'!$A$1:$A$5, 'Lookup Array'!$B$1:$B$5, "No Rating")</f>
        <v>3</v>
      </c>
    </row>
    <row r="108" spans="2:13" x14ac:dyDescent="0.25">
      <c r="B108" t="s">
        <v>104</v>
      </c>
      <c r="C108" t="s">
        <v>15</v>
      </c>
      <c r="D108">
        <v>20</v>
      </c>
      <c r="E108" t="s">
        <v>16</v>
      </c>
      <c r="F108" s="5">
        <v>44744</v>
      </c>
      <c r="G108" t="s">
        <v>9</v>
      </c>
      <c r="H108">
        <v>79570</v>
      </c>
      <c r="I108" t="s">
        <v>204</v>
      </c>
      <c r="J108" s="7">
        <f ca="1">(TODAY() - staff[[#This Row],[Date Joined]]) / 365</f>
        <v>3.441095890410959</v>
      </c>
      <c r="K108" s="19">
        <f ca="1">ROUNDUP(IF(staff[[#This Row],[Tenure]]&gt;2, 3%, 2%) * staff[[#This Row],[Salary]],0)</f>
        <v>2388</v>
      </c>
      <c r="L108" cm="1">
        <f t="array" ref="L108">_xlfn.IFS(staff[[#This Row],[Rating]]="Exceptional", 5, staff[[#This Row],[Rating]]="Above average", 4, staff[[#This Row],[Rating]]="Average", 3, staff[[#This Row],[Rating]]="Poor", 2, staff[[#This Row],[Rating]]="Very poor", 1)</f>
        <v>3</v>
      </c>
      <c r="M108">
        <f>_xlfn.XLOOKUP(staff[[#This Row],[Rating]],'Lookup Array'!$A$1:$A$5, 'Lookup Array'!$B$1:$B$5, "No Rating")</f>
        <v>3</v>
      </c>
    </row>
    <row r="109" spans="2:13" x14ac:dyDescent="0.25">
      <c r="B109" t="s">
        <v>197</v>
      </c>
      <c r="C109" t="s">
        <v>15</v>
      </c>
      <c r="D109">
        <v>20</v>
      </c>
      <c r="E109" t="s">
        <v>16</v>
      </c>
      <c r="F109" s="5">
        <v>44683</v>
      </c>
      <c r="G109" t="s">
        <v>9</v>
      </c>
      <c r="H109">
        <v>79570</v>
      </c>
      <c r="I109" t="s">
        <v>206</v>
      </c>
      <c r="J109" s="7">
        <f ca="1">(TODAY() - staff[[#This Row],[Date Joined]]) / 365</f>
        <v>3.6082191780821917</v>
      </c>
      <c r="K109" s="19">
        <f ca="1">ROUNDUP(IF(staff[[#This Row],[Tenure]]&gt;2, 3%, 2%) * staff[[#This Row],[Salary]],0)</f>
        <v>2388</v>
      </c>
      <c r="L109" cm="1">
        <f t="array" ref="L109">_xlfn.IFS(staff[[#This Row],[Rating]]="Exceptional", 5, staff[[#This Row],[Rating]]="Above average", 4, staff[[#This Row],[Rating]]="Average", 3, staff[[#This Row],[Rating]]="Poor", 2, staff[[#This Row],[Rating]]="Very poor", 1)</f>
        <v>3</v>
      </c>
      <c r="M109">
        <f>_xlfn.XLOOKUP(staff[[#This Row],[Rating]],'Lookup Array'!$A$1:$A$5, 'Lookup Array'!$B$1:$B$5, "No Rating")</f>
        <v>3</v>
      </c>
    </row>
    <row r="110" spans="2:13" x14ac:dyDescent="0.25">
      <c r="B110" t="s">
        <v>39</v>
      </c>
      <c r="C110" t="s">
        <v>8</v>
      </c>
      <c r="D110">
        <v>25</v>
      </c>
      <c r="E110" t="s">
        <v>13</v>
      </c>
      <c r="F110" s="5">
        <v>44694</v>
      </c>
      <c r="G110" t="s">
        <v>12</v>
      </c>
      <c r="H110">
        <v>80700</v>
      </c>
      <c r="I110" t="s">
        <v>204</v>
      </c>
      <c r="J110" s="7">
        <f ca="1">(TODAY() - staff[[#This Row],[Date Joined]]) / 365</f>
        <v>3.5780821917808221</v>
      </c>
      <c r="K110" s="19">
        <f ca="1">ROUNDUP(IF(staff[[#This Row],[Tenure]]&gt;2, 3%, 2%) * staff[[#This Row],[Salary]],0)</f>
        <v>2421</v>
      </c>
      <c r="L110" cm="1">
        <f t="array" ref="L110">_xlfn.IFS(staff[[#This Row],[Rating]]="Exceptional", 5, staff[[#This Row],[Rating]]="Above average", 4, staff[[#This Row],[Rating]]="Average", 3, staff[[#This Row],[Rating]]="Poor", 2, staff[[#This Row],[Rating]]="Very poor", 1)</f>
        <v>4</v>
      </c>
      <c r="M110">
        <f>_xlfn.XLOOKUP(staff[[#This Row],[Rating]],'Lookup Array'!$A$1:$A$5, 'Lookup Array'!$B$1:$B$5, "No Rating")</f>
        <v>4</v>
      </c>
    </row>
    <row r="111" spans="2:13" x14ac:dyDescent="0.25">
      <c r="B111" t="s">
        <v>133</v>
      </c>
      <c r="C111" t="s">
        <v>8</v>
      </c>
      <c r="D111">
        <v>25</v>
      </c>
      <c r="E111" t="s">
        <v>13</v>
      </c>
      <c r="F111" s="5">
        <v>44633</v>
      </c>
      <c r="G111" t="s">
        <v>12</v>
      </c>
      <c r="H111">
        <v>80700</v>
      </c>
      <c r="I111" t="s">
        <v>206</v>
      </c>
      <c r="J111" s="7">
        <f ca="1">(TODAY() - staff[[#This Row],[Date Joined]]) / 365</f>
        <v>3.7452054794520548</v>
      </c>
      <c r="K111" s="19">
        <f ca="1">ROUNDUP(IF(staff[[#This Row],[Tenure]]&gt;2, 3%, 2%) * staff[[#This Row],[Salary]],0)</f>
        <v>2421</v>
      </c>
      <c r="L111" cm="1">
        <f t="array" ref="L111">_xlfn.IFS(staff[[#This Row],[Rating]]="Exceptional", 5, staff[[#This Row],[Rating]]="Above average", 4, staff[[#This Row],[Rating]]="Average", 3, staff[[#This Row],[Rating]]="Poor", 2, staff[[#This Row],[Rating]]="Very poor", 1)</f>
        <v>4</v>
      </c>
      <c r="M111">
        <f>_xlfn.XLOOKUP(staff[[#This Row],[Rating]],'Lookup Array'!$A$1:$A$5, 'Lookup Array'!$B$1:$B$5, "No Rating")</f>
        <v>4</v>
      </c>
    </row>
    <row r="112" spans="2:13" x14ac:dyDescent="0.25">
      <c r="B112" t="s">
        <v>92</v>
      </c>
      <c r="C112" t="s">
        <v>8</v>
      </c>
      <c r="D112">
        <v>27</v>
      </c>
      <c r="E112" t="s">
        <v>16</v>
      </c>
      <c r="F112" s="5">
        <v>44686</v>
      </c>
      <c r="G112" t="s">
        <v>12</v>
      </c>
      <c r="H112">
        <v>83750</v>
      </c>
      <c r="I112" t="s">
        <v>204</v>
      </c>
      <c r="J112" s="7">
        <f ca="1">(TODAY() - staff[[#This Row],[Date Joined]]) / 365</f>
        <v>3.6</v>
      </c>
      <c r="K112" s="19">
        <f ca="1">ROUNDUP(IF(staff[[#This Row],[Tenure]]&gt;2, 3%, 2%) * staff[[#This Row],[Salary]],0)</f>
        <v>2513</v>
      </c>
      <c r="L112" cm="1">
        <f t="array" ref="L112">_xlfn.IFS(staff[[#This Row],[Rating]]="Exceptional", 5, staff[[#This Row],[Rating]]="Above average", 4, staff[[#This Row],[Rating]]="Average", 3, staff[[#This Row],[Rating]]="Poor", 2, staff[[#This Row],[Rating]]="Very poor", 1)</f>
        <v>3</v>
      </c>
      <c r="M112">
        <f>_xlfn.XLOOKUP(staff[[#This Row],[Rating]],'Lookup Array'!$A$1:$A$5, 'Lookup Array'!$B$1:$B$5, "No Rating")</f>
        <v>3</v>
      </c>
    </row>
    <row r="113" spans="2:13" x14ac:dyDescent="0.25">
      <c r="B113" t="s">
        <v>185</v>
      </c>
      <c r="C113" t="s">
        <v>8</v>
      </c>
      <c r="D113">
        <v>27</v>
      </c>
      <c r="E113" t="s">
        <v>16</v>
      </c>
      <c r="F113" s="5">
        <v>44625</v>
      </c>
      <c r="G113" t="s">
        <v>12</v>
      </c>
      <c r="H113">
        <v>83750</v>
      </c>
      <c r="I113" t="s">
        <v>206</v>
      </c>
      <c r="J113" s="7">
        <f ca="1">(TODAY() - staff[[#This Row],[Date Joined]]) / 365</f>
        <v>3.7671232876712328</v>
      </c>
      <c r="K113" s="19">
        <f ca="1">ROUNDUP(IF(staff[[#This Row],[Tenure]]&gt;2, 3%, 2%) * staff[[#This Row],[Salary]],0)</f>
        <v>2513</v>
      </c>
      <c r="L113" cm="1">
        <f t="array" ref="L113">_xlfn.IFS(staff[[#This Row],[Rating]]="Exceptional", 5, staff[[#This Row],[Rating]]="Above average", 4, staff[[#This Row],[Rating]]="Average", 3, staff[[#This Row],[Rating]]="Poor", 2, staff[[#This Row],[Rating]]="Very poor", 1)</f>
        <v>3</v>
      </c>
      <c r="M113">
        <f>_xlfn.XLOOKUP(staff[[#This Row],[Rating]],'Lookup Array'!$A$1:$A$5, 'Lookup Array'!$B$1:$B$5, "No Rating")</f>
        <v>3</v>
      </c>
    </row>
    <row r="114" spans="2:13" x14ac:dyDescent="0.25">
      <c r="B114" t="s">
        <v>28</v>
      </c>
      <c r="C114" t="s">
        <v>8</v>
      </c>
      <c r="D114">
        <v>34</v>
      </c>
      <c r="E114" t="s">
        <v>16</v>
      </c>
      <c r="F114" s="5">
        <v>44459</v>
      </c>
      <c r="G114" t="s">
        <v>21</v>
      </c>
      <c r="H114">
        <v>85000</v>
      </c>
      <c r="I114" t="s">
        <v>204</v>
      </c>
      <c r="J114" s="7">
        <f ca="1">(TODAY() - staff[[#This Row],[Date Joined]]) / 365</f>
        <v>4.2219178082191782</v>
      </c>
      <c r="K114" s="19">
        <f ca="1">ROUNDUP(IF(staff[[#This Row],[Tenure]]&gt;2, 3%, 2%) * staff[[#This Row],[Salary]],0)</f>
        <v>2550</v>
      </c>
      <c r="L114" cm="1">
        <f t="array" ref="L114">_xlfn.IFS(staff[[#This Row],[Rating]]="Exceptional", 5, staff[[#This Row],[Rating]]="Above average", 4, staff[[#This Row],[Rating]]="Average", 3, staff[[#This Row],[Rating]]="Poor", 2, staff[[#This Row],[Rating]]="Very poor", 1)</f>
        <v>3</v>
      </c>
      <c r="M114">
        <f>_xlfn.XLOOKUP(staff[[#This Row],[Rating]],'Lookup Array'!$A$1:$A$5, 'Lookup Array'!$B$1:$B$5, "No Rating")</f>
        <v>3</v>
      </c>
    </row>
    <row r="115" spans="2:13" x14ac:dyDescent="0.25">
      <c r="B115" t="s">
        <v>122</v>
      </c>
      <c r="C115" t="s">
        <v>8</v>
      </c>
      <c r="D115">
        <v>34</v>
      </c>
      <c r="E115" t="s">
        <v>16</v>
      </c>
      <c r="F115" s="5">
        <v>44397</v>
      </c>
      <c r="G115" t="s">
        <v>21</v>
      </c>
      <c r="H115">
        <v>85000</v>
      </c>
      <c r="I115" t="s">
        <v>206</v>
      </c>
      <c r="J115" s="7">
        <f ca="1">(TODAY() - staff[[#This Row],[Date Joined]]) / 365</f>
        <v>4.3917808219178083</v>
      </c>
      <c r="K115" s="19">
        <f ca="1">ROUNDUP(IF(staff[[#This Row],[Tenure]]&gt;2, 3%, 2%) * staff[[#This Row],[Salary]],0)</f>
        <v>2550</v>
      </c>
      <c r="L115" cm="1">
        <f t="array" ref="L115">_xlfn.IFS(staff[[#This Row],[Rating]]="Exceptional", 5, staff[[#This Row],[Rating]]="Above average", 4, staff[[#This Row],[Rating]]="Average", 3, staff[[#This Row],[Rating]]="Poor", 2, staff[[#This Row],[Rating]]="Very poor", 1)</f>
        <v>3</v>
      </c>
      <c r="M115">
        <f>_xlfn.XLOOKUP(staff[[#This Row],[Rating]],'Lookup Array'!$A$1:$A$5, 'Lookup Array'!$B$1:$B$5, "No Rating")</f>
        <v>3</v>
      </c>
    </row>
    <row r="116" spans="2:13" x14ac:dyDescent="0.25">
      <c r="B116" t="s">
        <v>88</v>
      </c>
      <c r="C116" t="s">
        <v>8</v>
      </c>
      <c r="D116">
        <v>33</v>
      </c>
      <c r="E116" t="s">
        <v>16</v>
      </c>
      <c r="F116" s="5">
        <v>44809</v>
      </c>
      <c r="G116" t="s">
        <v>21</v>
      </c>
      <c r="H116">
        <v>86570</v>
      </c>
      <c r="I116" t="s">
        <v>204</v>
      </c>
      <c r="J116" s="7">
        <f ca="1">(TODAY() - staff[[#This Row],[Date Joined]]) / 365</f>
        <v>3.2630136986301368</v>
      </c>
      <c r="K116" s="19">
        <f ca="1">ROUNDUP(IF(staff[[#This Row],[Tenure]]&gt;2, 3%, 2%) * staff[[#This Row],[Salary]],0)</f>
        <v>2598</v>
      </c>
      <c r="L116" cm="1">
        <f t="array" ref="L116">_xlfn.IFS(staff[[#This Row],[Rating]]="Exceptional", 5, staff[[#This Row],[Rating]]="Above average", 4, staff[[#This Row],[Rating]]="Average", 3, staff[[#This Row],[Rating]]="Poor", 2, staff[[#This Row],[Rating]]="Very poor", 1)</f>
        <v>3</v>
      </c>
      <c r="M116">
        <f>_xlfn.XLOOKUP(staff[[#This Row],[Rating]],'Lookup Array'!$A$1:$A$5, 'Lookup Array'!$B$1:$B$5, "No Rating")</f>
        <v>3</v>
      </c>
    </row>
    <row r="117" spans="2:13" x14ac:dyDescent="0.25">
      <c r="B117" t="s">
        <v>181</v>
      </c>
      <c r="C117" t="s">
        <v>8</v>
      </c>
      <c r="D117">
        <v>33</v>
      </c>
      <c r="E117" t="s">
        <v>16</v>
      </c>
      <c r="F117" s="5">
        <v>44747</v>
      </c>
      <c r="G117" t="s">
        <v>21</v>
      </c>
      <c r="H117">
        <v>86570</v>
      </c>
      <c r="I117" t="s">
        <v>206</v>
      </c>
      <c r="J117" s="7">
        <f ca="1">(TODAY() - staff[[#This Row],[Date Joined]]) / 365</f>
        <v>3.4328767123287673</v>
      </c>
      <c r="K117" s="19">
        <f ca="1">ROUNDUP(IF(staff[[#This Row],[Tenure]]&gt;2, 3%, 2%) * staff[[#This Row],[Salary]],0)</f>
        <v>2598</v>
      </c>
      <c r="L117" cm="1">
        <f t="array" ref="L117">_xlfn.IFS(staff[[#This Row],[Rating]]="Exceptional", 5, staff[[#This Row],[Rating]]="Above average", 4, staff[[#This Row],[Rating]]="Average", 3, staff[[#This Row],[Rating]]="Poor", 2, staff[[#This Row],[Rating]]="Very poor", 1)</f>
        <v>3</v>
      </c>
      <c r="M117">
        <f>_xlfn.XLOOKUP(staff[[#This Row],[Rating]],'Lookup Array'!$A$1:$A$5, 'Lookup Array'!$B$1:$B$5, "No Rating")</f>
        <v>3</v>
      </c>
    </row>
    <row r="118" spans="2:13" x14ac:dyDescent="0.25">
      <c r="B118" t="s">
        <v>74</v>
      </c>
      <c r="C118" t="s">
        <v>8</v>
      </c>
      <c r="D118">
        <v>40</v>
      </c>
      <c r="E118" t="s">
        <v>16</v>
      </c>
      <c r="F118" s="5">
        <v>44337</v>
      </c>
      <c r="G118" t="s">
        <v>12</v>
      </c>
      <c r="H118">
        <v>87620</v>
      </c>
      <c r="I118" t="s">
        <v>204</v>
      </c>
      <c r="J118" s="7">
        <f ca="1">(TODAY() - staff[[#This Row],[Date Joined]]) / 365</f>
        <v>4.5561643835616437</v>
      </c>
      <c r="K118" s="19">
        <f ca="1">ROUNDUP(IF(staff[[#This Row],[Tenure]]&gt;2, 3%, 2%) * staff[[#This Row],[Salary]],0)</f>
        <v>2629</v>
      </c>
      <c r="L118" cm="1">
        <f t="array" ref="L118">_xlfn.IFS(staff[[#This Row],[Rating]]="Exceptional", 5, staff[[#This Row],[Rating]]="Above average", 4, staff[[#This Row],[Rating]]="Average", 3, staff[[#This Row],[Rating]]="Poor", 2, staff[[#This Row],[Rating]]="Very poor", 1)</f>
        <v>3</v>
      </c>
      <c r="M118">
        <f>_xlfn.XLOOKUP(staff[[#This Row],[Rating]],'Lookup Array'!$A$1:$A$5, 'Lookup Array'!$B$1:$B$5, "No Rating")</f>
        <v>3</v>
      </c>
    </row>
    <row r="119" spans="2:13" x14ac:dyDescent="0.25">
      <c r="B119" t="s">
        <v>166</v>
      </c>
      <c r="C119" t="s">
        <v>8</v>
      </c>
      <c r="D119">
        <v>40</v>
      </c>
      <c r="E119" t="s">
        <v>16</v>
      </c>
      <c r="F119" s="5">
        <v>44276</v>
      </c>
      <c r="G119" t="s">
        <v>12</v>
      </c>
      <c r="H119">
        <v>87620</v>
      </c>
      <c r="I119" t="s">
        <v>206</v>
      </c>
      <c r="J119" s="7">
        <f ca="1">(TODAY() - staff[[#This Row],[Date Joined]]) / 365</f>
        <v>4.7232876712328764</v>
      </c>
      <c r="K119" s="19">
        <f ca="1">ROUNDUP(IF(staff[[#This Row],[Tenure]]&gt;2, 3%, 2%) * staff[[#This Row],[Salary]],0)</f>
        <v>2629</v>
      </c>
      <c r="L119" cm="1">
        <f t="array" ref="L119">_xlfn.IFS(staff[[#This Row],[Rating]]="Exceptional", 5, staff[[#This Row],[Rating]]="Above average", 4, staff[[#This Row],[Rating]]="Average", 3, staff[[#This Row],[Rating]]="Poor", 2, staff[[#This Row],[Rating]]="Very poor", 1)</f>
        <v>3</v>
      </c>
      <c r="M119">
        <f>_xlfn.XLOOKUP(staff[[#This Row],[Rating]],'Lookup Array'!$A$1:$A$5, 'Lookup Array'!$B$1:$B$5, "No Rating")</f>
        <v>3</v>
      </c>
    </row>
    <row r="120" spans="2:13" x14ac:dyDescent="0.25">
      <c r="B120" t="s">
        <v>23</v>
      </c>
      <c r="C120" t="s">
        <v>15</v>
      </c>
      <c r="D120">
        <v>37</v>
      </c>
      <c r="E120" t="s">
        <v>24</v>
      </c>
      <c r="F120" s="5">
        <v>44338</v>
      </c>
      <c r="G120" t="s">
        <v>12</v>
      </c>
      <c r="H120">
        <v>88050</v>
      </c>
      <c r="I120" t="s">
        <v>204</v>
      </c>
      <c r="J120" s="7">
        <f ca="1">(TODAY() - staff[[#This Row],[Date Joined]]) / 365</f>
        <v>4.5534246575342463</v>
      </c>
      <c r="K120" s="19">
        <f ca="1">ROUNDUP(IF(staff[[#This Row],[Tenure]]&gt;2, 3%, 2%) * staff[[#This Row],[Salary]],0)</f>
        <v>2642</v>
      </c>
      <c r="L120" cm="1">
        <f t="array" ref="L120">_xlfn.IFS(staff[[#This Row],[Rating]]="Exceptional", 5, staff[[#This Row],[Rating]]="Above average", 4, staff[[#This Row],[Rating]]="Average", 3, staff[[#This Row],[Rating]]="Poor", 2, staff[[#This Row],[Rating]]="Very poor", 1)</f>
        <v>2</v>
      </c>
      <c r="M120">
        <f>_xlfn.XLOOKUP(staff[[#This Row],[Rating]],'Lookup Array'!$A$1:$A$5, 'Lookup Array'!$B$1:$B$5, "No Rating")</f>
        <v>2</v>
      </c>
    </row>
    <row r="121" spans="2:13" x14ac:dyDescent="0.25">
      <c r="B121" t="s">
        <v>118</v>
      </c>
      <c r="C121" t="s">
        <v>15</v>
      </c>
      <c r="D121">
        <v>37</v>
      </c>
      <c r="E121" t="s">
        <v>24</v>
      </c>
      <c r="F121" s="5">
        <v>44277</v>
      </c>
      <c r="G121" t="s">
        <v>12</v>
      </c>
      <c r="H121">
        <v>88050</v>
      </c>
      <c r="I121" t="s">
        <v>206</v>
      </c>
      <c r="J121" s="7">
        <f ca="1">(TODAY() - staff[[#This Row],[Date Joined]]) / 365</f>
        <v>4.720547945205479</v>
      </c>
      <c r="K121" s="19">
        <f ca="1">ROUNDUP(IF(staff[[#This Row],[Tenure]]&gt;2, 3%, 2%) * staff[[#This Row],[Salary]],0)</f>
        <v>2642</v>
      </c>
      <c r="L121" cm="1">
        <f t="array" ref="L121">_xlfn.IFS(staff[[#This Row],[Rating]]="Exceptional", 5, staff[[#This Row],[Rating]]="Above average", 4, staff[[#This Row],[Rating]]="Average", 3, staff[[#This Row],[Rating]]="Poor", 2, staff[[#This Row],[Rating]]="Very poor", 1)</f>
        <v>2</v>
      </c>
      <c r="M121">
        <f>_xlfn.XLOOKUP(staff[[#This Row],[Rating]],'Lookup Array'!$A$1:$A$5, 'Lookup Array'!$B$1:$B$5, "No Rating")</f>
        <v>2</v>
      </c>
    </row>
    <row r="122" spans="2:13" x14ac:dyDescent="0.25">
      <c r="B122" t="s">
        <v>11</v>
      </c>
      <c r="C122" t="s">
        <v>205</v>
      </c>
      <c r="D122">
        <v>26</v>
      </c>
      <c r="E122" t="s">
        <v>13</v>
      </c>
      <c r="F122" s="5">
        <v>44271</v>
      </c>
      <c r="G122" t="s">
        <v>12</v>
      </c>
      <c r="H122">
        <v>90700</v>
      </c>
      <c r="I122" t="s">
        <v>204</v>
      </c>
      <c r="J122" s="7">
        <f ca="1">(TODAY() - staff[[#This Row],[Date Joined]]) / 365</f>
        <v>4.7369863013698632</v>
      </c>
      <c r="K122" s="19">
        <f ca="1">ROUNDUP(IF(staff[[#This Row],[Tenure]]&gt;2, 3%, 2%) * staff[[#This Row],[Salary]],0)</f>
        <v>2721</v>
      </c>
      <c r="L122" cm="1">
        <f t="array" ref="L122">_xlfn.IFS(staff[[#This Row],[Rating]]="Exceptional", 5, staff[[#This Row],[Rating]]="Above average", 4, staff[[#This Row],[Rating]]="Average", 3, staff[[#This Row],[Rating]]="Poor", 2, staff[[#This Row],[Rating]]="Very poor", 1)</f>
        <v>4</v>
      </c>
      <c r="M122">
        <f>_xlfn.XLOOKUP(staff[[#This Row],[Rating]],'Lookup Array'!$A$1:$A$5, 'Lookup Array'!$B$1:$B$5, "No Rating")</f>
        <v>4</v>
      </c>
    </row>
    <row r="123" spans="2:13" x14ac:dyDescent="0.25">
      <c r="B123" t="s">
        <v>112</v>
      </c>
      <c r="C123" t="s">
        <v>205</v>
      </c>
      <c r="D123">
        <v>27</v>
      </c>
      <c r="E123" t="s">
        <v>13</v>
      </c>
      <c r="F123" s="5">
        <v>44212</v>
      </c>
      <c r="G123" t="s">
        <v>12</v>
      </c>
      <c r="H123">
        <v>90700</v>
      </c>
      <c r="I123" t="s">
        <v>206</v>
      </c>
      <c r="J123" s="7">
        <f ca="1">(TODAY() - staff[[#This Row],[Date Joined]]) / 365</f>
        <v>4.8986301369863012</v>
      </c>
      <c r="K123" s="19">
        <f ca="1">ROUNDUP(IF(staff[[#This Row],[Tenure]]&gt;2, 3%, 2%) * staff[[#This Row],[Salary]],0)</f>
        <v>2721</v>
      </c>
      <c r="L123" cm="1">
        <f t="array" ref="L123">_xlfn.IFS(staff[[#This Row],[Rating]]="Exceptional", 5, staff[[#This Row],[Rating]]="Above average", 4, staff[[#This Row],[Rating]]="Average", 3, staff[[#This Row],[Rating]]="Poor", 2, staff[[#This Row],[Rating]]="Very poor", 1)</f>
        <v>4</v>
      </c>
      <c r="M123">
        <f>_xlfn.XLOOKUP(staff[[#This Row],[Rating]],'Lookup Array'!$A$1:$A$5, 'Lookup Array'!$B$1:$B$5, "No Rating")</f>
        <v>4</v>
      </c>
    </row>
    <row r="124" spans="2:13" x14ac:dyDescent="0.25">
      <c r="B124" t="s">
        <v>52</v>
      </c>
      <c r="C124" t="s">
        <v>205</v>
      </c>
      <c r="D124">
        <v>32</v>
      </c>
      <c r="E124" t="s">
        <v>16</v>
      </c>
      <c r="F124" s="5">
        <v>44774</v>
      </c>
      <c r="G124" t="s">
        <v>12</v>
      </c>
      <c r="H124">
        <v>91310</v>
      </c>
      <c r="I124" t="s">
        <v>204</v>
      </c>
      <c r="J124" s="7">
        <f ca="1">(TODAY() - staff[[#This Row],[Date Joined]]) / 365</f>
        <v>3.3589041095890413</v>
      </c>
      <c r="K124" s="19">
        <f ca="1">ROUNDUP(IF(staff[[#This Row],[Tenure]]&gt;2, 3%, 2%) * staff[[#This Row],[Salary]],0)</f>
        <v>2740</v>
      </c>
      <c r="L124" cm="1">
        <f t="array" ref="L124">_xlfn.IFS(staff[[#This Row],[Rating]]="Exceptional", 5, staff[[#This Row],[Rating]]="Above average", 4, staff[[#This Row],[Rating]]="Average", 3, staff[[#This Row],[Rating]]="Poor", 2, staff[[#This Row],[Rating]]="Very poor", 1)</f>
        <v>3</v>
      </c>
      <c r="M124">
        <f>_xlfn.XLOOKUP(staff[[#This Row],[Rating]],'Lookup Array'!$A$1:$A$5, 'Lookup Array'!$B$1:$B$5, "No Rating")</f>
        <v>3</v>
      </c>
    </row>
    <row r="125" spans="2:13" x14ac:dyDescent="0.25">
      <c r="B125" t="s">
        <v>145</v>
      </c>
      <c r="C125" t="s">
        <v>205</v>
      </c>
      <c r="D125">
        <v>32</v>
      </c>
      <c r="E125" t="s">
        <v>16</v>
      </c>
      <c r="F125" s="5">
        <v>44713</v>
      </c>
      <c r="G125" t="s">
        <v>12</v>
      </c>
      <c r="H125">
        <v>91310</v>
      </c>
      <c r="I125" t="s">
        <v>206</v>
      </c>
      <c r="J125" s="7">
        <f ca="1">(TODAY() - staff[[#This Row],[Date Joined]]) / 365</f>
        <v>3.526027397260274</v>
      </c>
      <c r="K125" s="19">
        <f ca="1">ROUNDUP(IF(staff[[#This Row],[Tenure]]&gt;2, 3%, 2%) * staff[[#This Row],[Salary]],0)</f>
        <v>2740</v>
      </c>
      <c r="L125" cm="1">
        <f t="array" ref="L125">_xlfn.IFS(staff[[#This Row],[Rating]]="Exceptional", 5, staff[[#This Row],[Rating]]="Above average", 4, staff[[#This Row],[Rating]]="Average", 3, staff[[#This Row],[Rating]]="Poor", 2, staff[[#This Row],[Rating]]="Very poor", 1)</f>
        <v>3</v>
      </c>
      <c r="M125">
        <f>_xlfn.XLOOKUP(staff[[#This Row],[Rating]],'Lookup Array'!$A$1:$A$5, 'Lookup Array'!$B$1:$B$5, "No Rating")</f>
        <v>3</v>
      </c>
    </row>
    <row r="126" spans="2:13" x14ac:dyDescent="0.25">
      <c r="B126" t="s">
        <v>68</v>
      </c>
      <c r="C126" t="s">
        <v>15</v>
      </c>
      <c r="D126">
        <v>27</v>
      </c>
      <c r="E126" t="s">
        <v>13</v>
      </c>
      <c r="F126" s="5">
        <v>44236</v>
      </c>
      <c r="G126" t="s">
        <v>21</v>
      </c>
      <c r="H126">
        <v>91650</v>
      </c>
      <c r="I126" t="s">
        <v>204</v>
      </c>
      <c r="J126" s="7">
        <f ca="1">(TODAY() - staff[[#This Row],[Date Joined]]) / 365</f>
        <v>4.8328767123287673</v>
      </c>
      <c r="K126" s="19">
        <f ca="1">ROUNDUP(IF(staff[[#This Row],[Tenure]]&gt;2, 3%, 2%) * staff[[#This Row],[Salary]],0)</f>
        <v>2750</v>
      </c>
      <c r="L126" cm="1">
        <f t="array" ref="L126">_xlfn.IFS(staff[[#This Row],[Rating]]="Exceptional", 5, staff[[#This Row],[Rating]]="Above average", 4, staff[[#This Row],[Rating]]="Average", 3, staff[[#This Row],[Rating]]="Poor", 2, staff[[#This Row],[Rating]]="Very poor", 1)</f>
        <v>4</v>
      </c>
      <c r="M126">
        <f>_xlfn.XLOOKUP(staff[[#This Row],[Rating]],'Lookup Array'!$A$1:$A$5, 'Lookup Array'!$B$1:$B$5, "No Rating")</f>
        <v>4</v>
      </c>
    </row>
    <row r="127" spans="2:13" x14ac:dyDescent="0.25">
      <c r="B127" t="s">
        <v>160</v>
      </c>
      <c r="C127" t="s">
        <v>15</v>
      </c>
      <c r="D127">
        <v>27</v>
      </c>
      <c r="E127" t="s">
        <v>13</v>
      </c>
      <c r="F127" s="5">
        <v>44174</v>
      </c>
      <c r="G127" t="s">
        <v>21</v>
      </c>
      <c r="H127">
        <v>91650</v>
      </c>
      <c r="I127" t="s">
        <v>206</v>
      </c>
      <c r="J127" s="7">
        <f ca="1">(TODAY() - staff[[#This Row],[Date Joined]]) / 365</f>
        <v>5.0027397260273974</v>
      </c>
      <c r="K127" s="19">
        <f ca="1">ROUNDUP(IF(staff[[#This Row],[Tenure]]&gt;2, 3%, 2%) * staff[[#This Row],[Salary]],0)</f>
        <v>2750</v>
      </c>
      <c r="L127" cm="1">
        <f t="array" ref="L127">_xlfn.IFS(staff[[#This Row],[Rating]]="Exceptional", 5, staff[[#This Row],[Rating]]="Above average", 4, staff[[#This Row],[Rating]]="Average", 3, staff[[#This Row],[Rating]]="Poor", 2, staff[[#This Row],[Rating]]="Very poor", 1)</f>
        <v>4</v>
      </c>
      <c r="M127">
        <f>_xlfn.XLOOKUP(staff[[#This Row],[Rating]],'Lookup Array'!$A$1:$A$5, 'Lookup Array'!$B$1:$B$5, "No Rating")</f>
        <v>4</v>
      </c>
    </row>
    <row r="128" spans="2:13" x14ac:dyDescent="0.25">
      <c r="B128" t="s">
        <v>102</v>
      </c>
      <c r="C128" t="s">
        <v>8</v>
      </c>
      <c r="D128">
        <v>34</v>
      </c>
      <c r="E128" t="s">
        <v>16</v>
      </c>
      <c r="F128" s="5">
        <v>44445</v>
      </c>
      <c r="G128" t="s">
        <v>21</v>
      </c>
      <c r="H128">
        <v>92450</v>
      </c>
      <c r="I128" t="s">
        <v>204</v>
      </c>
      <c r="J128" s="7">
        <f ca="1">(TODAY() - staff[[#This Row],[Date Joined]]) / 365</f>
        <v>4.2602739726027394</v>
      </c>
      <c r="K128" s="19">
        <f ca="1">ROUNDUP(IF(staff[[#This Row],[Tenure]]&gt;2, 3%, 2%) * staff[[#This Row],[Salary]],0)</f>
        <v>2774</v>
      </c>
      <c r="L128" cm="1">
        <f t="array" ref="L128">_xlfn.IFS(staff[[#This Row],[Rating]]="Exceptional", 5, staff[[#This Row],[Rating]]="Above average", 4, staff[[#This Row],[Rating]]="Average", 3, staff[[#This Row],[Rating]]="Poor", 2, staff[[#This Row],[Rating]]="Very poor", 1)</f>
        <v>3</v>
      </c>
      <c r="M128">
        <f>_xlfn.XLOOKUP(staff[[#This Row],[Rating]],'Lookup Array'!$A$1:$A$5, 'Lookup Array'!$B$1:$B$5, "No Rating")</f>
        <v>3</v>
      </c>
    </row>
    <row r="129" spans="2:13" x14ac:dyDescent="0.25">
      <c r="B129" t="s">
        <v>195</v>
      </c>
      <c r="C129" t="s">
        <v>8</v>
      </c>
      <c r="D129">
        <v>34</v>
      </c>
      <c r="E129" t="s">
        <v>16</v>
      </c>
      <c r="F129" s="5">
        <v>44383</v>
      </c>
      <c r="G129" t="s">
        <v>21</v>
      </c>
      <c r="H129">
        <v>92450</v>
      </c>
      <c r="I129" t="s">
        <v>206</v>
      </c>
      <c r="J129" s="7">
        <f ca="1">(TODAY() - staff[[#This Row],[Date Joined]]) / 365</f>
        <v>4.4301369863013695</v>
      </c>
      <c r="K129" s="19">
        <f ca="1">ROUNDUP(IF(staff[[#This Row],[Tenure]]&gt;2, 3%, 2%) * staff[[#This Row],[Salary]],0)</f>
        <v>2774</v>
      </c>
      <c r="L129" cm="1">
        <f t="array" ref="L129">_xlfn.IFS(staff[[#This Row],[Rating]]="Exceptional", 5, staff[[#This Row],[Rating]]="Above average", 4, staff[[#This Row],[Rating]]="Average", 3, staff[[#This Row],[Rating]]="Poor", 2, staff[[#This Row],[Rating]]="Very poor", 1)</f>
        <v>3</v>
      </c>
      <c r="M129">
        <f>_xlfn.XLOOKUP(staff[[#This Row],[Rating]],'Lookup Array'!$A$1:$A$5, 'Lookup Array'!$B$1:$B$5, "No Rating")</f>
        <v>3</v>
      </c>
    </row>
    <row r="130" spans="2:13" x14ac:dyDescent="0.25">
      <c r="B130" t="s">
        <v>77</v>
      </c>
      <c r="C130" t="s">
        <v>8</v>
      </c>
      <c r="D130">
        <v>25</v>
      </c>
      <c r="E130" t="s">
        <v>16</v>
      </c>
      <c r="F130" s="5">
        <v>44205</v>
      </c>
      <c r="G130" t="s">
        <v>19</v>
      </c>
      <c r="H130">
        <v>92700</v>
      </c>
      <c r="I130" t="s">
        <v>204</v>
      </c>
      <c r="J130" s="7">
        <f ca="1">(TODAY() - staff[[#This Row],[Date Joined]]) / 365</f>
        <v>4.9178082191780819</v>
      </c>
      <c r="K130" s="19">
        <f ca="1">ROUNDUP(IF(staff[[#This Row],[Tenure]]&gt;2, 3%, 2%) * staff[[#This Row],[Salary]],0)</f>
        <v>2781</v>
      </c>
      <c r="L130" cm="1">
        <f t="array" ref="L130">_xlfn.IFS(staff[[#This Row],[Rating]]="Exceptional", 5, staff[[#This Row],[Rating]]="Above average", 4, staff[[#This Row],[Rating]]="Average", 3, staff[[#This Row],[Rating]]="Poor", 2, staff[[#This Row],[Rating]]="Very poor", 1)</f>
        <v>3</v>
      </c>
      <c r="M130">
        <f>_xlfn.XLOOKUP(staff[[#This Row],[Rating]],'Lookup Array'!$A$1:$A$5, 'Lookup Array'!$B$1:$B$5, "No Rating")</f>
        <v>3</v>
      </c>
    </row>
    <row r="131" spans="2:13" x14ac:dyDescent="0.25">
      <c r="B131" t="s">
        <v>169</v>
      </c>
      <c r="C131" t="s">
        <v>8</v>
      </c>
      <c r="D131">
        <v>25</v>
      </c>
      <c r="E131" t="s">
        <v>16</v>
      </c>
      <c r="F131" s="5">
        <v>44144</v>
      </c>
      <c r="G131" t="s">
        <v>19</v>
      </c>
      <c r="H131">
        <v>92700</v>
      </c>
      <c r="I131" t="s">
        <v>206</v>
      </c>
      <c r="J131" s="7">
        <f ca="1">(TODAY() - staff[[#This Row],[Date Joined]]) / 365</f>
        <v>5.0849315068493155</v>
      </c>
      <c r="K131" s="19">
        <f ca="1">ROUNDUP(IF(staff[[#This Row],[Tenure]]&gt;2, 3%, 2%) * staff[[#This Row],[Salary]],0)</f>
        <v>2781</v>
      </c>
      <c r="L131" cm="1">
        <f t="array" ref="L131">_xlfn.IFS(staff[[#This Row],[Rating]]="Exceptional", 5, staff[[#This Row],[Rating]]="Above average", 4, staff[[#This Row],[Rating]]="Average", 3, staff[[#This Row],[Rating]]="Poor", 2, staff[[#This Row],[Rating]]="Very poor", 1)</f>
        <v>3</v>
      </c>
      <c r="M131">
        <f>_xlfn.XLOOKUP(staff[[#This Row],[Rating]],'Lookup Array'!$A$1:$A$5, 'Lookup Array'!$B$1:$B$5, "No Rating")</f>
        <v>3</v>
      </c>
    </row>
    <row r="132" spans="2:13" x14ac:dyDescent="0.25">
      <c r="B132" t="s">
        <v>71</v>
      </c>
      <c r="C132" t="s">
        <v>8</v>
      </c>
      <c r="D132">
        <v>33</v>
      </c>
      <c r="E132" t="s">
        <v>16</v>
      </c>
      <c r="F132" s="5">
        <v>44190</v>
      </c>
      <c r="G132" t="s">
        <v>12</v>
      </c>
      <c r="H132">
        <v>96140</v>
      </c>
      <c r="I132" t="s">
        <v>204</v>
      </c>
      <c r="J132" s="7">
        <f ca="1">(TODAY() - staff[[#This Row],[Date Joined]]) / 365</f>
        <v>4.9589041095890414</v>
      </c>
      <c r="K132" s="19">
        <f ca="1">ROUNDUP(IF(staff[[#This Row],[Tenure]]&gt;2, 3%, 2%) * staff[[#This Row],[Salary]],0)</f>
        <v>2885</v>
      </c>
      <c r="L132" cm="1">
        <f t="array" ref="L132">_xlfn.IFS(staff[[#This Row],[Rating]]="Exceptional", 5, staff[[#This Row],[Rating]]="Above average", 4, staff[[#This Row],[Rating]]="Average", 3, staff[[#This Row],[Rating]]="Poor", 2, staff[[#This Row],[Rating]]="Very poor", 1)</f>
        <v>3</v>
      </c>
      <c r="M132">
        <f>_xlfn.XLOOKUP(staff[[#This Row],[Rating]],'Lookup Array'!$A$1:$A$5, 'Lookup Array'!$B$1:$B$5, "No Rating")</f>
        <v>3</v>
      </c>
    </row>
    <row r="133" spans="2:13" x14ac:dyDescent="0.25">
      <c r="B133" t="s">
        <v>163</v>
      </c>
      <c r="C133" t="s">
        <v>8</v>
      </c>
      <c r="D133">
        <v>33</v>
      </c>
      <c r="E133" t="s">
        <v>16</v>
      </c>
      <c r="F133" s="5">
        <v>44129</v>
      </c>
      <c r="G133" t="s">
        <v>12</v>
      </c>
      <c r="H133">
        <v>96140</v>
      </c>
      <c r="I133" t="s">
        <v>206</v>
      </c>
      <c r="J133" s="7">
        <f ca="1">(TODAY() - staff[[#This Row],[Date Joined]]) / 365</f>
        <v>5.1260273972602741</v>
      </c>
      <c r="K133" s="19">
        <f ca="1">ROUNDUP(IF(staff[[#This Row],[Tenure]]&gt;2, 3%, 2%) * staff[[#This Row],[Salary]],0)</f>
        <v>2885</v>
      </c>
      <c r="L133" cm="1">
        <f t="array" ref="L133">_xlfn.IFS(staff[[#This Row],[Rating]]="Exceptional", 5, staff[[#This Row],[Rating]]="Above average", 4, staff[[#This Row],[Rating]]="Average", 3, staff[[#This Row],[Rating]]="Poor", 2, staff[[#This Row],[Rating]]="Very poor", 1)</f>
        <v>3</v>
      </c>
      <c r="M133">
        <f>_xlfn.XLOOKUP(staff[[#This Row],[Rating]],'Lookup Array'!$A$1:$A$5, 'Lookup Array'!$B$1:$B$5, "No Rating")</f>
        <v>3</v>
      </c>
    </row>
    <row r="134" spans="2:13" x14ac:dyDescent="0.25">
      <c r="B134" t="s">
        <v>85</v>
      </c>
      <c r="C134" t="s">
        <v>15</v>
      </c>
      <c r="D134">
        <v>30</v>
      </c>
      <c r="E134" t="s">
        <v>16</v>
      </c>
      <c r="F134" s="5">
        <v>44606</v>
      </c>
      <c r="G134" t="s">
        <v>21</v>
      </c>
      <c r="H134">
        <v>96800</v>
      </c>
      <c r="I134" t="s">
        <v>204</v>
      </c>
      <c r="J134" s="7">
        <f ca="1">(TODAY() - staff[[#This Row],[Date Joined]]) / 365</f>
        <v>3.8191780821917809</v>
      </c>
      <c r="K134" s="19">
        <f ca="1">ROUNDUP(IF(staff[[#This Row],[Tenure]]&gt;2, 3%, 2%) * staff[[#This Row],[Salary]],0)</f>
        <v>2904</v>
      </c>
      <c r="L134" cm="1">
        <f t="array" ref="L134">_xlfn.IFS(staff[[#This Row],[Rating]]="Exceptional", 5, staff[[#This Row],[Rating]]="Above average", 4, staff[[#This Row],[Rating]]="Average", 3, staff[[#This Row],[Rating]]="Poor", 2, staff[[#This Row],[Rating]]="Very poor", 1)</f>
        <v>3</v>
      </c>
      <c r="M134">
        <f>_xlfn.XLOOKUP(staff[[#This Row],[Rating]],'Lookup Array'!$A$1:$A$5, 'Lookup Array'!$B$1:$B$5, "No Rating")</f>
        <v>3</v>
      </c>
    </row>
    <row r="135" spans="2:13" x14ac:dyDescent="0.25">
      <c r="B135" t="s">
        <v>177</v>
      </c>
      <c r="C135" t="s">
        <v>15</v>
      </c>
      <c r="D135">
        <v>30</v>
      </c>
      <c r="E135" t="s">
        <v>16</v>
      </c>
      <c r="F135" s="5">
        <v>44544</v>
      </c>
      <c r="G135" t="s">
        <v>21</v>
      </c>
      <c r="H135">
        <v>96800</v>
      </c>
      <c r="I135" t="s">
        <v>206</v>
      </c>
      <c r="J135" s="7">
        <f ca="1">(TODAY() - staff[[#This Row],[Date Joined]]) / 365</f>
        <v>3.989041095890411</v>
      </c>
      <c r="K135" s="19">
        <f ca="1">ROUNDUP(IF(staff[[#This Row],[Tenure]]&gt;2, 3%, 2%) * staff[[#This Row],[Salary]],0)</f>
        <v>2904</v>
      </c>
      <c r="L135" cm="1">
        <f t="array" ref="L135">_xlfn.IFS(staff[[#This Row],[Rating]]="Exceptional", 5, staff[[#This Row],[Rating]]="Above average", 4, staff[[#This Row],[Rating]]="Average", 3, staff[[#This Row],[Rating]]="Poor", 2, staff[[#This Row],[Rating]]="Very poor", 1)</f>
        <v>3</v>
      </c>
      <c r="M135">
        <f>_xlfn.XLOOKUP(staff[[#This Row],[Rating]],'Lookup Array'!$A$1:$A$5, 'Lookup Array'!$B$1:$B$5, "No Rating")</f>
        <v>3</v>
      </c>
    </row>
    <row r="136" spans="2:13" x14ac:dyDescent="0.25">
      <c r="B136" t="s">
        <v>105</v>
      </c>
      <c r="C136" t="s">
        <v>15</v>
      </c>
      <c r="D136">
        <v>40</v>
      </c>
      <c r="E136" t="s">
        <v>16</v>
      </c>
      <c r="F136" s="5">
        <v>44263</v>
      </c>
      <c r="G136" t="s">
        <v>9</v>
      </c>
      <c r="H136">
        <v>99750</v>
      </c>
      <c r="I136" t="s">
        <v>204</v>
      </c>
      <c r="J136" s="7">
        <f ca="1">(TODAY() - staff[[#This Row],[Date Joined]]) / 365</f>
        <v>4.7589041095890412</v>
      </c>
      <c r="K136" s="19">
        <f ca="1">ROUNDUP(IF(staff[[#This Row],[Tenure]]&gt;2, 3%, 2%) * staff[[#This Row],[Salary]],0)</f>
        <v>2993</v>
      </c>
      <c r="L136" cm="1">
        <f t="array" ref="L136">_xlfn.IFS(staff[[#This Row],[Rating]]="Exceptional", 5, staff[[#This Row],[Rating]]="Above average", 4, staff[[#This Row],[Rating]]="Average", 3, staff[[#This Row],[Rating]]="Poor", 2, staff[[#This Row],[Rating]]="Very poor", 1)</f>
        <v>3</v>
      </c>
      <c r="M136">
        <f>_xlfn.XLOOKUP(staff[[#This Row],[Rating]],'Lookup Array'!$A$1:$A$5, 'Lookup Array'!$B$1:$B$5, "No Rating")</f>
        <v>3</v>
      </c>
    </row>
    <row r="137" spans="2:13" x14ac:dyDescent="0.25">
      <c r="B137" t="s">
        <v>198</v>
      </c>
      <c r="C137" t="s">
        <v>15</v>
      </c>
      <c r="D137">
        <v>40</v>
      </c>
      <c r="E137" t="s">
        <v>16</v>
      </c>
      <c r="F137" s="5">
        <v>44204</v>
      </c>
      <c r="G137" t="s">
        <v>9</v>
      </c>
      <c r="H137">
        <v>99750</v>
      </c>
      <c r="I137" t="s">
        <v>206</v>
      </c>
      <c r="J137" s="7">
        <f ca="1">(TODAY() - staff[[#This Row],[Date Joined]]) / 365</f>
        <v>4.9205479452054792</v>
      </c>
      <c r="K137" s="19">
        <f ca="1">ROUNDUP(IF(staff[[#This Row],[Tenure]]&gt;2, 3%, 2%) * staff[[#This Row],[Salary]],0)</f>
        <v>2993</v>
      </c>
      <c r="L137" cm="1">
        <f t="array" ref="L137">_xlfn.IFS(staff[[#This Row],[Rating]]="Exceptional", 5, staff[[#This Row],[Rating]]="Above average", 4, staff[[#This Row],[Rating]]="Average", 3, staff[[#This Row],[Rating]]="Poor", 2, staff[[#This Row],[Rating]]="Very poor", 1)</f>
        <v>3</v>
      </c>
      <c r="M137">
        <f>_xlfn.XLOOKUP(staff[[#This Row],[Rating]],'Lookup Array'!$A$1:$A$5, 'Lookup Array'!$B$1:$B$5, "No Rating")</f>
        <v>3</v>
      </c>
    </row>
    <row r="138" spans="2:13" x14ac:dyDescent="0.25">
      <c r="B138" t="s">
        <v>107</v>
      </c>
      <c r="C138" t="s">
        <v>8</v>
      </c>
      <c r="D138">
        <v>28</v>
      </c>
      <c r="E138" t="s">
        <v>16</v>
      </c>
      <c r="F138" s="5">
        <v>44630</v>
      </c>
      <c r="G138" t="s">
        <v>9</v>
      </c>
      <c r="H138">
        <v>99970</v>
      </c>
      <c r="I138" t="s">
        <v>204</v>
      </c>
      <c r="J138" s="7">
        <f ca="1">(TODAY() - staff[[#This Row],[Date Joined]]) / 365</f>
        <v>3.7534246575342465</v>
      </c>
      <c r="K138" s="19">
        <f ca="1">ROUNDUP(IF(staff[[#This Row],[Tenure]]&gt;2, 3%, 2%) * staff[[#This Row],[Salary]],0)</f>
        <v>3000</v>
      </c>
      <c r="L138" cm="1">
        <f t="array" ref="L138">_xlfn.IFS(staff[[#This Row],[Rating]]="Exceptional", 5, staff[[#This Row],[Rating]]="Above average", 4, staff[[#This Row],[Rating]]="Average", 3, staff[[#This Row],[Rating]]="Poor", 2, staff[[#This Row],[Rating]]="Very poor", 1)</f>
        <v>3</v>
      </c>
      <c r="M138">
        <f>_xlfn.XLOOKUP(staff[[#This Row],[Rating]],'Lookup Array'!$A$1:$A$5, 'Lookup Array'!$B$1:$B$5, "No Rating")</f>
        <v>3</v>
      </c>
    </row>
    <row r="139" spans="2:13" x14ac:dyDescent="0.25">
      <c r="B139" t="s">
        <v>200</v>
      </c>
      <c r="C139" t="s">
        <v>8</v>
      </c>
      <c r="D139">
        <v>28</v>
      </c>
      <c r="E139" t="s">
        <v>16</v>
      </c>
      <c r="F139" s="5">
        <v>44571</v>
      </c>
      <c r="G139" t="s">
        <v>9</v>
      </c>
      <c r="H139">
        <v>99970</v>
      </c>
      <c r="I139" t="s">
        <v>206</v>
      </c>
      <c r="J139" s="7">
        <f ca="1">(TODAY() - staff[[#This Row],[Date Joined]]) / 365</f>
        <v>3.9150684931506849</v>
      </c>
      <c r="K139" s="19">
        <f ca="1">ROUNDUP(IF(staff[[#This Row],[Tenure]]&gt;2, 3%, 2%) * staff[[#This Row],[Salary]],0)</f>
        <v>3000</v>
      </c>
      <c r="L139" cm="1">
        <f t="array" ref="L139">_xlfn.IFS(staff[[#This Row],[Rating]]="Exceptional", 5, staff[[#This Row],[Rating]]="Above average", 4, staff[[#This Row],[Rating]]="Average", 3, staff[[#This Row],[Rating]]="Poor", 2, staff[[#This Row],[Rating]]="Very poor", 1)</f>
        <v>3</v>
      </c>
      <c r="M139">
        <f>_xlfn.XLOOKUP(staff[[#This Row],[Rating]],'Lookup Array'!$A$1:$A$5, 'Lookup Array'!$B$1:$B$5, "No Rating")</f>
        <v>3</v>
      </c>
    </row>
    <row r="140" spans="2:13" x14ac:dyDescent="0.25">
      <c r="B140" t="s">
        <v>103</v>
      </c>
      <c r="C140" t="s">
        <v>15</v>
      </c>
      <c r="D140">
        <v>24</v>
      </c>
      <c r="E140" t="s">
        <v>16</v>
      </c>
      <c r="F140" s="5">
        <v>44686</v>
      </c>
      <c r="G140" t="s">
        <v>12</v>
      </c>
      <c r="H140">
        <v>100420</v>
      </c>
      <c r="I140" t="s">
        <v>204</v>
      </c>
      <c r="J140" s="7">
        <f ca="1">(TODAY() - staff[[#This Row],[Date Joined]]) / 365</f>
        <v>3.6</v>
      </c>
      <c r="K140" s="19">
        <f ca="1">ROUNDUP(IF(staff[[#This Row],[Tenure]]&gt;2, 3%, 2%) * staff[[#This Row],[Salary]],0)</f>
        <v>3013</v>
      </c>
      <c r="L140" cm="1">
        <f t="array" ref="L140">_xlfn.IFS(staff[[#This Row],[Rating]]="Exceptional", 5, staff[[#This Row],[Rating]]="Above average", 4, staff[[#This Row],[Rating]]="Average", 3, staff[[#This Row],[Rating]]="Poor", 2, staff[[#This Row],[Rating]]="Very poor", 1)</f>
        <v>3</v>
      </c>
      <c r="M140">
        <f>_xlfn.XLOOKUP(staff[[#This Row],[Rating]],'Lookup Array'!$A$1:$A$5, 'Lookup Array'!$B$1:$B$5, "No Rating")</f>
        <v>3</v>
      </c>
    </row>
    <row r="141" spans="2:13" x14ac:dyDescent="0.25">
      <c r="B141" t="s">
        <v>196</v>
      </c>
      <c r="C141" t="s">
        <v>15</v>
      </c>
      <c r="D141">
        <v>24</v>
      </c>
      <c r="E141" t="s">
        <v>16</v>
      </c>
      <c r="F141" s="5">
        <v>44625</v>
      </c>
      <c r="G141" t="s">
        <v>12</v>
      </c>
      <c r="H141">
        <v>100420</v>
      </c>
      <c r="I141" t="s">
        <v>206</v>
      </c>
      <c r="J141" s="7">
        <f ca="1">(TODAY() - staff[[#This Row],[Date Joined]]) / 365</f>
        <v>3.7671232876712328</v>
      </c>
      <c r="K141" s="19">
        <f ca="1">ROUNDUP(IF(staff[[#This Row],[Tenure]]&gt;2, 3%, 2%) * staff[[#This Row],[Salary]],0)</f>
        <v>3013</v>
      </c>
      <c r="L141" cm="1">
        <f t="array" ref="L141">_xlfn.IFS(staff[[#This Row],[Rating]]="Exceptional", 5, staff[[#This Row],[Rating]]="Above average", 4, staff[[#This Row],[Rating]]="Average", 3, staff[[#This Row],[Rating]]="Poor", 2, staff[[#This Row],[Rating]]="Very poor", 1)</f>
        <v>3</v>
      </c>
      <c r="M141">
        <f>_xlfn.XLOOKUP(staff[[#This Row],[Rating]],'Lookup Array'!$A$1:$A$5, 'Lookup Array'!$B$1:$B$5, "No Rating")</f>
        <v>3</v>
      </c>
    </row>
    <row r="142" spans="2:13" x14ac:dyDescent="0.25">
      <c r="B142" t="s">
        <v>50</v>
      </c>
      <c r="C142" t="s">
        <v>15</v>
      </c>
      <c r="D142">
        <v>31</v>
      </c>
      <c r="E142" t="s">
        <v>16</v>
      </c>
      <c r="F142" s="5">
        <v>44724</v>
      </c>
      <c r="G142" t="s">
        <v>9</v>
      </c>
      <c r="H142">
        <v>103550</v>
      </c>
      <c r="I142" t="s">
        <v>204</v>
      </c>
      <c r="J142" s="7">
        <f ca="1">(TODAY() - staff[[#This Row],[Date Joined]]) / 365</f>
        <v>3.495890410958904</v>
      </c>
      <c r="K142" s="19">
        <f ca="1">ROUNDUP(IF(staff[[#This Row],[Tenure]]&gt;2, 3%, 2%) * staff[[#This Row],[Salary]],0)</f>
        <v>3107</v>
      </c>
      <c r="L142" cm="1">
        <f t="array" ref="L142">_xlfn.IFS(staff[[#This Row],[Rating]]="Exceptional", 5, staff[[#This Row],[Rating]]="Above average", 4, staff[[#This Row],[Rating]]="Average", 3, staff[[#This Row],[Rating]]="Poor", 2, staff[[#This Row],[Rating]]="Very poor", 1)</f>
        <v>3</v>
      </c>
      <c r="M142">
        <f>_xlfn.XLOOKUP(staff[[#This Row],[Rating]],'Lookup Array'!$A$1:$A$5, 'Lookup Array'!$B$1:$B$5, "No Rating")</f>
        <v>3</v>
      </c>
    </row>
    <row r="143" spans="2:13" x14ac:dyDescent="0.25">
      <c r="B143" t="s">
        <v>143</v>
      </c>
      <c r="C143" t="s">
        <v>15</v>
      </c>
      <c r="D143">
        <v>31</v>
      </c>
      <c r="E143" t="s">
        <v>16</v>
      </c>
      <c r="F143" s="5">
        <v>44663</v>
      </c>
      <c r="G143" t="s">
        <v>9</v>
      </c>
      <c r="H143">
        <v>103550</v>
      </c>
      <c r="I143" t="s">
        <v>206</v>
      </c>
      <c r="J143" s="7">
        <f ca="1">(TODAY() - staff[[#This Row],[Date Joined]]) / 365</f>
        <v>3.6630136986301371</v>
      </c>
      <c r="K143" s="19">
        <f ca="1">ROUNDUP(IF(staff[[#This Row],[Tenure]]&gt;2, 3%, 2%) * staff[[#This Row],[Salary]],0)</f>
        <v>3107</v>
      </c>
      <c r="L143" cm="1">
        <f t="array" ref="L143">_xlfn.IFS(staff[[#This Row],[Rating]]="Exceptional", 5, staff[[#This Row],[Rating]]="Above average", 4, staff[[#This Row],[Rating]]="Average", 3, staff[[#This Row],[Rating]]="Poor", 2, staff[[#This Row],[Rating]]="Very poor", 1)</f>
        <v>3</v>
      </c>
      <c r="M143">
        <f>_xlfn.XLOOKUP(staff[[#This Row],[Rating]],'Lookup Array'!$A$1:$A$5, 'Lookup Array'!$B$1:$B$5, "No Rating")</f>
        <v>3</v>
      </c>
    </row>
    <row r="144" spans="2:13" x14ac:dyDescent="0.25">
      <c r="B144" t="s">
        <v>96</v>
      </c>
      <c r="C144" t="s">
        <v>8</v>
      </c>
      <c r="D144">
        <v>28</v>
      </c>
      <c r="E144" t="s">
        <v>16</v>
      </c>
      <c r="F144" s="5">
        <v>44649</v>
      </c>
      <c r="G144" t="s">
        <v>9</v>
      </c>
      <c r="H144">
        <v>104120</v>
      </c>
      <c r="I144" t="s">
        <v>204</v>
      </c>
      <c r="J144" s="7">
        <f ca="1">(TODAY() - staff[[#This Row],[Date Joined]]) / 365</f>
        <v>3.7013698630136984</v>
      </c>
      <c r="K144" s="19">
        <f ca="1">ROUNDUP(IF(staff[[#This Row],[Tenure]]&gt;2, 3%, 2%) * staff[[#This Row],[Salary]],0)</f>
        <v>3124</v>
      </c>
      <c r="L144" cm="1">
        <f t="array" ref="L144">_xlfn.IFS(staff[[#This Row],[Rating]]="Exceptional", 5, staff[[#This Row],[Rating]]="Above average", 4, staff[[#This Row],[Rating]]="Average", 3, staff[[#This Row],[Rating]]="Poor", 2, staff[[#This Row],[Rating]]="Very poor", 1)</f>
        <v>3</v>
      </c>
      <c r="M144">
        <f>_xlfn.XLOOKUP(staff[[#This Row],[Rating]],'Lookup Array'!$A$1:$A$5, 'Lookup Array'!$B$1:$B$5, "No Rating")</f>
        <v>3</v>
      </c>
    </row>
    <row r="145" spans="2:13" x14ac:dyDescent="0.25">
      <c r="B145" t="s">
        <v>189</v>
      </c>
      <c r="C145" t="s">
        <v>8</v>
      </c>
      <c r="D145">
        <v>28</v>
      </c>
      <c r="E145" t="s">
        <v>16</v>
      </c>
      <c r="F145" s="5">
        <v>44590</v>
      </c>
      <c r="G145" t="s">
        <v>9</v>
      </c>
      <c r="H145">
        <v>104120</v>
      </c>
      <c r="I145" t="s">
        <v>206</v>
      </c>
      <c r="J145" s="7">
        <f ca="1">(TODAY() - staff[[#This Row],[Date Joined]]) / 365</f>
        <v>3.8630136986301369</v>
      </c>
      <c r="K145" s="19">
        <f ca="1">ROUNDUP(IF(staff[[#This Row],[Tenure]]&gt;2, 3%, 2%) * staff[[#This Row],[Salary]],0)</f>
        <v>3124</v>
      </c>
      <c r="L145" cm="1">
        <f t="array" ref="L145">_xlfn.IFS(staff[[#This Row],[Rating]]="Exceptional", 5, staff[[#This Row],[Rating]]="Above average", 4, staff[[#This Row],[Rating]]="Average", 3, staff[[#This Row],[Rating]]="Poor", 2, staff[[#This Row],[Rating]]="Very poor", 1)</f>
        <v>3</v>
      </c>
      <c r="M145">
        <f>_xlfn.XLOOKUP(staff[[#This Row],[Rating]],'Lookup Array'!$A$1:$A$5, 'Lookup Array'!$B$1:$B$5, "No Rating")</f>
        <v>3</v>
      </c>
    </row>
    <row r="146" spans="2:13" x14ac:dyDescent="0.25">
      <c r="B146" t="s">
        <v>101</v>
      </c>
      <c r="C146" t="s">
        <v>8</v>
      </c>
      <c r="D146">
        <v>40</v>
      </c>
      <c r="E146" t="s">
        <v>16</v>
      </c>
      <c r="F146" s="5">
        <v>44381</v>
      </c>
      <c r="G146" t="s">
        <v>12</v>
      </c>
      <c r="H146">
        <v>104410</v>
      </c>
      <c r="I146" t="s">
        <v>204</v>
      </c>
      <c r="J146" s="7">
        <f ca="1">(TODAY() - staff[[#This Row],[Date Joined]]) / 365</f>
        <v>4.4356164383561643</v>
      </c>
      <c r="K146" s="19">
        <f ca="1">ROUNDUP(IF(staff[[#This Row],[Tenure]]&gt;2, 3%, 2%) * staff[[#This Row],[Salary]],0)</f>
        <v>3133</v>
      </c>
      <c r="L146" cm="1">
        <f t="array" ref="L146">_xlfn.IFS(staff[[#This Row],[Rating]]="Exceptional", 5, staff[[#This Row],[Rating]]="Above average", 4, staff[[#This Row],[Rating]]="Average", 3, staff[[#This Row],[Rating]]="Poor", 2, staff[[#This Row],[Rating]]="Very poor", 1)</f>
        <v>3</v>
      </c>
      <c r="M146">
        <f>_xlfn.XLOOKUP(staff[[#This Row],[Rating]],'Lookup Array'!$A$1:$A$5, 'Lookup Array'!$B$1:$B$5, "No Rating")</f>
        <v>3</v>
      </c>
    </row>
    <row r="147" spans="2:13" x14ac:dyDescent="0.25">
      <c r="B147" t="s">
        <v>194</v>
      </c>
      <c r="C147" t="s">
        <v>8</v>
      </c>
      <c r="D147">
        <v>40</v>
      </c>
      <c r="E147" t="s">
        <v>16</v>
      </c>
      <c r="F147" s="5">
        <v>44320</v>
      </c>
      <c r="G147" t="s">
        <v>12</v>
      </c>
      <c r="H147">
        <v>104410</v>
      </c>
      <c r="I147" t="s">
        <v>206</v>
      </c>
      <c r="J147" s="7">
        <f ca="1">(TODAY() - staff[[#This Row],[Date Joined]]) / 365</f>
        <v>4.602739726027397</v>
      </c>
      <c r="K147" s="19">
        <f ca="1">ROUNDUP(IF(staff[[#This Row],[Tenure]]&gt;2, 3%, 2%) * staff[[#This Row],[Salary]],0)</f>
        <v>3133</v>
      </c>
      <c r="L147" cm="1">
        <f t="array" ref="L147">_xlfn.IFS(staff[[#This Row],[Rating]]="Exceptional", 5, staff[[#This Row],[Rating]]="Above average", 4, staff[[#This Row],[Rating]]="Average", 3, staff[[#This Row],[Rating]]="Poor", 2, staff[[#This Row],[Rating]]="Very poor", 1)</f>
        <v>3</v>
      </c>
      <c r="M147">
        <f>_xlfn.XLOOKUP(staff[[#This Row],[Rating]],'Lookup Array'!$A$1:$A$5, 'Lookup Array'!$B$1:$B$5, "No Rating")</f>
        <v>3</v>
      </c>
    </row>
    <row r="148" spans="2:13" x14ac:dyDescent="0.25">
      <c r="B148" t="s">
        <v>43</v>
      </c>
      <c r="C148" t="s">
        <v>8</v>
      </c>
      <c r="D148">
        <v>28</v>
      </c>
      <c r="E148" t="s">
        <v>16</v>
      </c>
      <c r="F148" s="5">
        <v>44486</v>
      </c>
      <c r="G148" t="s">
        <v>9</v>
      </c>
      <c r="H148">
        <v>104770</v>
      </c>
      <c r="I148" t="s">
        <v>204</v>
      </c>
      <c r="J148" s="7">
        <f ca="1">(TODAY() - staff[[#This Row],[Date Joined]]) / 365</f>
        <v>4.1479452054794521</v>
      </c>
      <c r="K148" s="19">
        <f ca="1">ROUNDUP(IF(staff[[#This Row],[Tenure]]&gt;2, 3%, 2%) * staff[[#This Row],[Salary]],0)</f>
        <v>3144</v>
      </c>
      <c r="L148" cm="1">
        <f t="array" ref="L148">_xlfn.IFS(staff[[#This Row],[Rating]]="Exceptional", 5, staff[[#This Row],[Rating]]="Above average", 4, staff[[#This Row],[Rating]]="Average", 3, staff[[#This Row],[Rating]]="Poor", 2, staff[[#This Row],[Rating]]="Very poor", 1)</f>
        <v>3</v>
      </c>
      <c r="M148">
        <f>_xlfn.XLOOKUP(staff[[#This Row],[Rating]],'Lookup Array'!$A$1:$A$5, 'Lookup Array'!$B$1:$B$5, "No Rating")</f>
        <v>3</v>
      </c>
    </row>
    <row r="149" spans="2:13" x14ac:dyDescent="0.25">
      <c r="B149" t="s">
        <v>136</v>
      </c>
      <c r="C149" t="s">
        <v>8</v>
      </c>
      <c r="D149">
        <v>28</v>
      </c>
      <c r="E149" t="s">
        <v>16</v>
      </c>
      <c r="F149" s="5">
        <v>44425</v>
      </c>
      <c r="G149" t="s">
        <v>9</v>
      </c>
      <c r="H149">
        <v>104770</v>
      </c>
      <c r="I149" t="s">
        <v>206</v>
      </c>
      <c r="J149" s="7">
        <f ca="1">(TODAY() - staff[[#This Row],[Date Joined]]) / 365</f>
        <v>4.3150684931506849</v>
      </c>
      <c r="K149" s="19">
        <f ca="1">ROUNDUP(IF(staff[[#This Row],[Tenure]]&gt;2, 3%, 2%) * staff[[#This Row],[Salary]],0)</f>
        <v>3144</v>
      </c>
      <c r="L149" cm="1">
        <f t="array" ref="L149">_xlfn.IFS(staff[[#This Row],[Rating]]="Exceptional", 5, staff[[#This Row],[Rating]]="Above average", 4, staff[[#This Row],[Rating]]="Average", 3, staff[[#This Row],[Rating]]="Poor", 2, staff[[#This Row],[Rating]]="Very poor", 1)</f>
        <v>3</v>
      </c>
      <c r="M149">
        <f>_xlfn.XLOOKUP(staff[[#This Row],[Rating]],'Lookup Array'!$A$1:$A$5, 'Lookup Array'!$B$1:$B$5, "No Rating")</f>
        <v>3</v>
      </c>
    </row>
    <row r="150" spans="2:13" x14ac:dyDescent="0.25">
      <c r="B150" t="s">
        <v>69</v>
      </c>
      <c r="C150" t="s">
        <v>15</v>
      </c>
      <c r="D150">
        <v>23</v>
      </c>
      <c r="E150" t="s">
        <v>16</v>
      </c>
      <c r="F150" s="5">
        <v>44440</v>
      </c>
      <c r="G150" t="s">
        <v>9</v>
      </c>
      <c r="H150">
        <v>106460</v>
      </c>
      <c r="I150" t="s">
        <v>204</v>
      </c>
      <c r="J150" s="7">
        <f ca="1">(TODAY() - staff[[#This Row],[Date Joined]]) / 365</f>
        <v>4.2739726027397262</v>
      </c>
      <c r="K150" s="19">
        <f ca="1">ROUNDUP(IF(staff[[#This Row],[Tenure]]&gt;2, 3%, 2%) * staff[[#This Row],[Salary]],0)</f>
        <v>3194</v>
      </c>
      <c r="L150" cm="1">
        <f t="array" ref="L150">_xlfn.IFS(staff[[#This Row],[Rating]]="Exceptional", 5, staff[[#This Row],[Rating]]="Above average", 4, staff[[#This Row],[Rating]]="Average", 3, staff[[#This Row],[Rating]]="Poor", 2, staff[[#This Row],[Rating]]="Very poor", 1)</f>
        <v>3</v>
      </c>
      <c r="M150">
        <f>_xlfn.XLOOKUP(staff[[#This Row],[Rating]],'Lookup Array'!$A$1:$A$5, 'Lookup Array'!$B$1:$B$5, "No Rating")</f>
        <v>3</v>
      </c>
    </row>
    <row r="151" spans="2:13" x14ac:dyDescent="0.25">
      <c r="B151" t="s">
        <v>161</v>
      </c>
      <c r="C151" t="s">
        <v>15</v>
      </c>
      <c r="D151">
        <v>23</v>
      </c>
      <c r="E151" t="s">
        <v>16</v>
      </c>
      <c r="F151" s="5">
        <v>44378</v>
      </c>
      <c r="G151" t="s">
        <v>9</v>
      </c>
      <c r="H151">
        <v>106460</v>
      </c>
      <c r="I151" t="s">
        <v>206</v>
      </c>
      <c r="J151" s="7">
        <f ca="1">(TODAY() - staff[[#This Row],[Date Joined]]) / 365</f>
        <v>4.4438356164383563</v>
      </c>
      <c r="K151" s="19">
        <f ca="1">ROUNDUP(IF(staff[[#This Row],[Tenure]]&gt;2, 3%, 2%) * staff[[#This Row],[Salary]],0)</f>
        <v>3194</v>
      </c>
      <c r="L151" cm="1">
        <f t="array" ref="L151">_xlfn.IFS(staff[[#This Row],[Rating]]="Exceptional", 5, staff[[#This Row],[Rating]]="Above average", 4, staff[[#This Row],[Rating]]="Average", 3, staff[[#This Row],[Rating]]="Poor", 2, staff[[#This Row],[Rating]]="Very poor", 1)</f>
        <v>3</v>
      </c>
      <c r="M151">
        <f>_xlfn.XLOOKUP(staff[[#This Row],[Rating]],'Lookup Array'!$A$1:$A$5, 'Lookup Array'!$B$1:$B$5, "No Rating")</f>
        <v>3</v>
      </c>
    </row>
    <row r="152" spans="2:13" x14ac:dyDescent="0.25">
      <c r="B152" t="s">
        <v>22</v>
      </c>
      <c r="C152" t="s">
        <v>15</v>
      </c>
      <c r="D152">
        <v>20</v>
      </c>
      <c r="E152" t="s">
        <v>16</v>
      </c>
      <c r="F152" s="5">
        <v>44459</v>
      </c>
      <c r="G152" t="s">
        <v>12</v>
      </c>
      <c r="H152">
        <v>107700</v>
      </c>
      <c r="I152" t="s">
        <v>204</v>
      </c>
      <c r="J152" s="7">
        <f ca="1">(TODAY() - staff[[#This Row],[Date Joined]]) / 365</f>
        <v>4.2219178082191782</v>
      </c>
      <c r="K152" s="19">
        <f ca="1">ROUNDUP(IF(staff[[#This Row],[Tenure]]&gt;2, 3%, 2%) * staff[[#This Row],[Salary]],0)</f>
        <v>3231</v>
      </c>
      <c r="L152" cm="1">
        <f t="array" ref="L152">_xlfn.IFS(staff[[#This Row],[Rating]]="Exceptional", 5, staff[[#This Row],[Rating]]="Above average", 4, staff[[#This Row],[Rating]]="Average", 3, staff[[#This Row],[Rating]]="Poor", 2, staff[[#This Row],[Rating]]="Very poor", 1)</f>
        <v>3</v>
      </c>
      <c r="M152">
        <f>_xlfn.XLOOKUP(staff[[#This Row],[Rating]],'Lookup Array'!$A$1:$A$5, 'Lookup Array'!$B$1:$B$5, "No Rating")</f>
        <v>3</v>
      </c>
    </row>
    <row r="153" spans="2:13" x14ac:dyDescent="0.25">
      <c r="B153" t="s">
        <v>117</v>
      </c>
      <c r="C153" t="s">
        <v>15</v>
      </c>
      <c r="D153">
        <v>20</v>
      </c>
      <c r="E153" t="s">
        <v>16</v>
      </c>
      <c r="F153" s="5">
        <v>44397</v>
      </c>
      <c r="G153" t="s">
        <v>12</v>
      </c>
      <c r="H153">
        <v>107700</v>
      </c>
      <c r="I153" t="s">
        <v>206</v>
      </c>
      <c r="J153" s="7">
        <f ca="1">(TODAY() - staff[[#This Row],[Date Joined]]) / 365</f>
        <v>4.3917808219178083</v>
      </c>
      <c r="K153" s="19">
        <f ca="1">ROUNDUP(IF(staff[[#This Row],[Tenure]]&gt;2, 3%, 2%) * staff[[#This Row],[Salary]],0)</f>
        <v>3231</v>
      </c>
      <c r="L153" cm="1">
        <f t="array" ref="L153">_xlfn.IFS(staff[[#This Row],[Rating]]="Exceptional", 5, staff[[#This Row],[Rating]]="Above average", 4, staff[[#This Row],[Rating]]="Average", 3, staff[[#This Row],[Rating]]="Poor", 2, staff[[#This Row],[Rating]]="Very poor", 1)</f>
        <v>3</v>
      </c>
      <c r="M153">
        <f>_xlfn.XLOOKUP(staff[[#This Row],[Rating]],'Lookup Array'!$A$1:$A$5, 'Lookup Array'!$B$1:$B$5, "No Rating")</f>
        <v>3</v>
      </c>
    </row>
    <row r="154" spans="2:13" x14ac:dyDescent="0.25">
      <c r="B154" t="s">
        <v>33</v>
      </c>
      <c r="C154" t="s">
        <v>8</v>
      </c>
      <c r="D154">
        <v>38</v>
      </c>
      <c r="E154" t="s">
        <v>10</v>
      </c>
      <c r="F154" s="5">
        <v>44377</v>
      </c>
      <c r="G154" t="s">
        <v>19</v>
      </c>
      <c r="H154">
        <v>109160</v>
      </c>
      <c r="I154" t="s">
        <v>204</v>
      </c>
      <c r="J154" s="7">
        <f ca="1">(TODAY() - staff[[#This Row],[Date Joined]]) / 365</f>
        <v>4.4465753424657537</v>
      </c>
      <c r="K154" s="19">
        <f ca="1">ROUNDUP(IF(staff[[#This Row],[Tenure]]&gt;2, 3%, 2%) * staff[[#This Row],[Salary]],0)</f>
        <v>3275</v>
      </c>
      <c r="L154" cm="1">
        <f t="array" ref="L154">_xlfn.IFS(staff[[#This Row],[Rating]]="Exceptional", 5, staff[[#This Row],[Rating]]="Above average", 4, staff[[#This Row],[Rating]]="Average", 3, staff[[#This Row],[Rating]]="Poor", 2, staff[[#This Row],[Rating]]="Very poor", 1)</f>
        <v>5</v>
      </c>
      <c r="M154">
        <f>_xlfn.XLOOKUP(staff[[#This Row],[Rating]],'Lookup Array'!$A$1:$A$5, 'Lookup Array'!$B$1:$B$5, "No Rating")</f>
        <v>5</v>
      </c>
    </row>
    <row r="155" spans="2:13" x14ac:dyDescent="0.25">
      <c r="B155" t="s">
        <v>127</v>
      </c>
      <c r="C155" t="s">
        <v>8</v>
      </c>
      <c r="D155">
        <v>38</v>
      </c>
      <c r="E155" t="s">
        <v>10</v>
      </c>
      <c r="F155" s="5">
        <v>44316</v>
      </c>
      <c r="G155" t="s">
        <v>19</v>
      </c>
      <c r="H155">
        <v>109160</v>
      </c>
      <c r="I155" t="s">
        <v>206</v>
      </c>
      <c r="J155" s="7">
        <f ca="1">(TODAY() - staff[[#This Row],[Date Joined]]) / 365</f>
        <v>4.6136986301369864</v>
      </c>
      <c r="K155" s="19">
        <f ca="1">ROUNDUP(IF(staff[[#This Row],[Tenure]]&gt;2, 3%, 2%) * staff[[#This Row],[Salary]],0)</f>
        <v>3275</v>
      </c>
      <c r="L155" cm="1">
        <f t="array" ref="L155">_xlfn.IFS(staff[[#This Row],[Rating]]="Exceptional", 5, staff[[#This Row],[Rating]]="Above average", 4, staff[[#This Row],[Rating]]="Average", 3, staff[[#This Row],[Rating]]="Poor", 2, staff[[#This Row],[Rating]]="Very poor", 1)</f>
        <v>5</v>
      </c>
      <c r="M155">
        <f>_xlfn.XLOOKUP(staff[[#This Row],[Rating]],'Lookup Array'!$A$1:$A$5, 'Lookup Array'!$B$1:$B$5, "No Rating")</f>
        <v>5</v>
      </c>
    </row>
    <row r="156" spans="2:13" x14ac:dyDescent="0.25">
      <c r="B156" t="s">
        <v>34</v>
      </c>
      <c r="C156" t="s">
        <v>15</v>
      </c>
      <c r="D156">
        <v>25</v>
      </c>
      <c r="E156" t="s">
        <v>13</v>
      </c>
      <c r="F156" s="5">
        <v>44726</v>
      </c>
      <c r="G156" t="s">
        <v>9</v>
      </c>
      <c r="H156">
        <v>109190</v>
      </c>
      <c r="I156" t="s">
        <v>204</v>
      </c>
      <c r="J156" s="7">
        <f ca="1">(TODAY() - staff[[#This Row],[Date Joined]]) / 365</f>
        <v>3.4904109589041097</v>
      </c>
      <c r="K156" s="19">
        <f ca="1">ROUNDUP(IF(staff[[#This Row],[Tenure]]&gt;2, 3%, 2%) * staff[[#This Row],[Salary]],0)</f>
        <v>3276</v>
      </c>
      <c r="L156" cm="1">
        <f t="array" ref="L156">_xlfn.IFS(staff[[#This Row],[Rating]]="Exceptional", 5, staff[[#This Row],[Rating]]="Above average", 4, staff[[#This Row],[Rating]]="Average", 3, staff[[#This Row],[Rating]]="Poor", 2, staff[[#This Row],[Rating]]="Very poor", 1)</f>
        <v>4</v>
      </c>
      <c r="M156">
        <f>_xlfn.XLOOKUP(staff[[#This Row],[Rating]],'Lookup Array'!$A$1:$A$5, 'Lookup Array'!$B$1:$B$5, "No Rating")</f>
        <v>4</v>
      </c>
    </row>
    <row r="157" spans="2:13" x14ac:dyDescent="0.25">
      <c r="B157" t="s">
        <v>128</v>
      </c>
      <c r="C157" t="s">
        <v>15</v>
      </c>
      <c r="D157">
        <v>25</v>
      </c>
      <c r="E157" t="s">
        <v>13</v>
      </c>
      <c r="F157" s="5">
        <v>44665</v>
      </c>
      <c r="G157" t="s">
        <v>9</v>
      </c>
      <c r="H157">
        <v>109190</v>
      </c>
      <c r="I157" t="s">
        <v>206</v>
      </c>
      <c r="J157" s="7">
        <f ca="1">(TODAY() - staff[[#This Row],[Date Joined]]) / 365</f>
        <v>3.6575342465753424</v>
      </c>
      <c r="K157" s="19">
        <f ca="1">ROUNDUP(IF(staff[[#This Row],[Tenure]]&gt;2, 3%, 2%) * staff[[#This Row],[Salary]],0)</f>
        <v>3276</v>
      </c>
      <c r="L157" cm="1">
        <f t="array" ref="L157">_xlfn.IFS(staff[[#This Row],[Rating]]="Exceptional", 5, staff[[#This Row],[Rating]]="Above average", 4, staff[[#This Row],[Rating]]="Average", 3, staff[[#This Row],[Rating]]="Poor", 2, staff[[#This Row],[Rating]]="Very poor", 1)</f>
        <v>4</v>
      </c>
      <c r="M157">
        <f>_xlfn.XLOOKUP(staff[[#This Row],[Rating]],'Lookup Array'!$A$1:$A$5, 'Lookup Array'!$B$1:$B$5, "No Rating")</f>
        <v>4</v>
      </c>
    </row>
    <row r="158" spans="2:13" x14ac:dyDescent="0.25">
      <c r="B158" t="s">
        <v>87</v>
      </c>
      <c r="C158" t="s">
        <v>15</v>
      </c>
      <c r="D158">
        <v>29</v>
      </c>
      <c r="E158" t="s">
        <v>24</v>
      </c>
      <c r="F158" s="5">
        <v>44180</v>
      </c>
      <c r="G158" t="s">
        <v>12</v>
      </c>
      <c r="H158">
        <v>112110</v>
      </c>
      <c r="I158" t="s">
        <v>204</v>
      </c>
      <c r="J158" s="7">
        <f ca="1">(TODAY() - staff[[#This Row],[Date Joined]]) / 365</f>
        <v>4.9863013698630141</v>
      </c>
      <c r="K158" s="19">
        <f ca="1">ROUNDUP(IF(staff[[#This Row],[Tenure]]&gt;2, 3%, 2%) * staff[[#This Row],[Salary]],0)</f>
        <v>3364</v>
      </c>
      <c r="L158" cm="1">
        <f t="array" ref="L158">_xlfn.IFS(staff[[#This Row],[Rating]]="Exceptional", 5, staff[[#This Row],[Rating]]="Above average", 4, staff[[#This Row],[Rating]]="Average", 3, staff[[#This Row],[Rating]]="Poor", 2, staff[[#This Row],[Rating]]="Very poor", 1)</f>
        <v>2</v>
      </c>
      <c r="M158">
        <f>_xlfn.XLOOKUP(staff[[#This Row],[Rating]],'Lookup Array'!$A$1:$A$5, 'Lookup Array'!$B$1:$B$5, "No Rating")</f>
        <v>2</v>
      </c>
    </row>
    <row r="159" spans="2:13" x14ac:dyDescent="0.25">
      <c r="B159" t="s">
        <v>180</v>
      </c>
      <c r="C159" t="s">
        <v>15</v>
      </c>
      <c r="D159">
        <v>29</v>
      </c>
      <c r="E159" t="s">
        <v>24</v>
      </c>
      <c r="F159" s="5">
        <v>44119</v>
      </c>
      <c r="G159" t="s">
        <v>12</v>
      </c>
      <c r="H159">
        <v>112110</v>
      </c>
      <c r="I159" t="s">
        <v>206</v>
      </c>
      <c r="J159" s="7">
        <f ca="1">(TODAY() - staff[[#This Row],[Date Joined]]) / 365</f>
        <v>5.1534246575342468</v>
      </c>
      <c r="K159" s="19">
        <f ca="1">ROUNDUP(IF(staff[[#This Row],[Tenure]]&gt;2, 3%, 2%) * staff[[#This Row],[Salary]],0)</f>
        <v>3364</v>
      </c>
      <c r="L159" cm="1">
        <f t="array" ref="L159">_xlfn.IFS(staff[[#This Row],[Rating]]="Exceptional", 5, staff[[#This Row],[Rating]]="Above average", 4, staff[[#This Row],[Rating]]="Average", 3, staff[[#This Row],[Rating]]="Poor", 2, staff[[#This Row],[Rating]]="Very poor", 1)</f>
        <v>2</v>
      </c>
      <c r="M159">
        <f>_xlfn.XLOOKUP(staff[[#This Row],[Rating]],'Lookup Array'!$A$1:$A$5, 'Lookup Array'!$B$1:$B$5, "No Rating")</f>
        <v>2</v>
      </c>
    </row>
    <row r="160" spans="2:13" x14ac:dyDescent="0.25">
      <c r="B160" t="s">
        <v>81</v>
      </c>
      <c r="C160" t="s">
        <v>8</v>
      </c>
      <c r="D160">
        <v>30</v>
      </c>
      <c r="E160" t="s">
        <v>16</v>
      </c>
      <c r="F160" s="5">
        <v>44861</v>
      </c>
      <c r="G160" t="s">
        <v>9</v>
      </c>
      <c r="H160">
        <v>112570</v>
      </c>
      <c r="I160" t="s">
        <v>204</v>
      </c>
      <c r="J160" s="7">
        <f ca="1">(TODAY() - staff[[#This Row],[Date Joined]]) / 365</f>
        <v>3.1205479452054794</v>
      </c>
      <c r="K160" s="19">
        <f ca="1">ROUNDUP(IF(staff[[#This Row],[Tenure]]&gt;2, 3%, 2%) * staff[[#This Row],[Salary]],0)</f>
        <v>3378</v>
      </c>
      <c r="L160" cm="1">
        <f t="array" ref="L160">_xlfn.IFS(staff[[#This Row],[Rating]]="Exceptional", 5, staff[[#This Row],[Rating]]="Above average", 4, staff[[#This Row],[Rating]]="Average", 3, staff[[#This Row],[Rating]]="Poor", 2, staff[[#This Row],[Rating]]="Very poor", 1)</f>
        <v>3</v>
      </c>
      <c r="M160">
        <f>_xlfn.XLOOKUP(staff[[#This Row],[Rating]],'Lookup Array'!$A$1:$A$5, 'Lookup Array'!$B$1:$B$5, "No Rating")</f>
        <v>3</v>
      </c>
    </row>
    <row r="161" spans="2:13" x14ac:dyDescent="0.25">
      <c r="B161" t="s">
        <v>173</v>
      </c>
      <c r="C161" t="s">
        <v>8</v>
      </c>
      <c r="D161">
        <v>30</v>
      </c>
      <c r="E161" t="s">
        <v>16</v>
      </c>
      <c r="F161" s="5">
        <v>44800</v>
      </c>
      <c r="G161" t="s">
        <v>9</v>
      </c>
      <c r="H161">
        <v>112570</v>
      </c>
      <c r="I161" t="s">
        <v>206</v>
      </c>
      <c r="J161" s="7">
        <f ca="1">(TODAY() - staff[[#This Row],[Date Joined]]) / 365</f>
        <v>3.2876712328767121</v>
      </c>
      <c r="K161" s="19">
        <f ca="1">ROUNDUP(IF(staff[[#This Row],[Tenure]]&gt;2, 3%, 2%) * staff[[#This Row],[Salary]],0)</f>
        <v>3378</v>
      </c>
      <c r="L161" cm="1">
        <f t="array" ref="L161">_xlfn.IFS(staff[[#This Row],[Rating]]="Exceptional", 5, staff[[#This Row],[Rating]]="Above average", 4, staff[[#This Row],[Rating]]="Average", 3, staff[[#This Row],[Rating]]="Poor", 2, staff[[#This Row],[Rating]]="Very poor", 1)</f>
        <v>3</v>
      </c>
      <c r="M161">
        <f>_xlfn.XLOOKUP(staff[[#This Row],[Rating]],'Lookup Array'!$A$1:$A$5, 'Lookup Array'!$B$1:$B$5, "No Rating")</f>
        <v>3</v>
      </c>
    </row>
    <row r="162" spans="2:13" x14ac:dyDescent="0.25">
      <c r="B162" t="s">
        <v>64</v>
      </c>
      <c r="C162" t="s">
        <v>15</v>
      </c>
      <c r="D162">
        <v>20</v>
      </c>
      <c r="E162" t="s">
        <v>16</v>
      </c>
      <c r="F162" s="5">
        <v>44183</v>
      </c>
      <c r="G162" t="s">
        <v>12</v>
      </c>
      <c r="H162">
        <v>112650</v>
      </c>
      <c r="I162" t="s">
        <v>204</v>
      </c>
      <c r="J162" s="7">
        <f ca="1">(TODAY() - staff[[#This Row],[Date Joined]]) / 365</f>
        <v>4.978082191780822</v>
      </c>
      <c r="K162" s="19">
        <f ca="1">ROUNDUP(IF(staff[[#This Row],[Tenure]]&gt;2, 3%, 2%) * staff[[#This Row],[Salary]],0)</f>
        <v>3380</v>
      </c>
      <c r="L162" cm="1">
        <f t="array" ref="L162">_xlfn.IFS(staff[[#This Row],[Rating]]="Exceptional", 5, staff[[#This Row],[Rating]]="Above average", 4, staff[[#This Row],[Rating]]="Average", 3, staff[[#This Row],[Rating]]="Poor", 2, staff[[#This Row],[Rating]]="Very poor", 1)</f>
        <v>3</v>
      </c>
      <c r="M162">
        <f>_xlfn.XLOOKUP(staff[[#This Row],[Rating]],'Lookup Array'!$A$1:$A$5, 'Lookup Array'!$B$1:$B$5, "No Rating")</f>
        <v>3</v>
      </c>
    </row>
    <row r="163" spans="2:13" x14ac:dyDescent="0.25">
      <c r="B163" t="s">
        <v>156</v>
      </c>
      <c r="C163" t="s">
        <v>15</v>
      </c>
      <c r="D163">
        <v>20</v>
      </c>
      <c r="E163" t="s">
        <v>16</v>
      </c>
      <c r="F163" s="5">
        <v>44122</v>
      </c>
      <c r="G163" t="s">
        <v>12</v>
      </c>
      <c r="H163">
        <v>112650</v>
      </c>
      <c r="I163" t="s">
        <v>206</v>
      </c>
      <c r="J163" s="7">
        <f ca="1">(TODAY() - staff[[#This Row],[Date Joined]]) / 365</f>
        <v>5.1452054794520548</v>
      </c>
      <c r="K163" s="19">
        <f ca="1">ROUNDUP(IF(staff[[#This Row],[Tenure]]&gt;2, 3%, 2%) * staff[[#This Row],[Salary]],0)</f>
        <v>3380</v>
      </c>
      <c r="L163" cm="1">
        <f t="array" ref="L163">_xlfn.IFS(staff[[#This Row],[Rating]]="Exceptional", 5, staff[[#This Row],[Rating]]="Above average", 4, staff[[#This Row],[Rating]]="Average", 3, staff[[#This Row],[Rating]]="Poor", 2, staff[[#This Row],[Rating]]="Very poor", 1)</f>
        <v>3</v>
      </c>
      <c r="M163">
        <f>_xlfn.XLOOKUP(staff[[#This Row],[Rating]],'Lookup Array'!$A$1:$A$5, 'Lookup Array'!$B$1:$B$5, "No Rating")</f>
        <v>3</v>
      </c>
    </row>
    <row r="164" spans="2:13" x14ac:dyDescent="0.25">
      <c r="B164" t="s">
        <v>178</v>
      </c>
      <c r="C164" t="s">
        <v>15</v>
      </c>
      <c r="D164">
        <v>34</v>
      </c>
      <c r="E164" t="s">
        <v>16</v>
      </c>
      <c r="F164" s="5">
        <v>44642</v>
      </c>
      <c r="G164" t="s">
        <v>9</v>
      </c>
      <c r="H164">
        <v>112650</v>
      </c>
      <c r="I164" t="s">
        <v>206</v>
      </c>
      <c r="J164" s="7">
        <f ca="1">(TODAY() - staff[[#This Row],[Date Joined]]) / 365</f>
        <v>3.7205479452054795</v>
      </c>
      <c r="K164" s="19">
        <f ca="1">ROUNDUP(IF(staff[[#This Row],[Tenure]]&gt;2, 3%, 2%) * staff[[#This Row],[Salary]],0)</f>
        <v>3380</v>
      </c>
      <c r="L164" cm="1">
        <f t="array" ref="L164">_xlfn.IFS(staff[[#This Row],[Rating]]="Exceptional", 5, staff[[#This Row],[Rating]]="Above average", 4, staff[[#This Row],[Rating]]="Average", 3, staff[[#This Row],[Rating]]="Poor", 2, staff[[#This Row],[Rating]]="Very poor", 1)</f>
        <v>3</v>
      </c>
      <c r="M164">
        <f>_xlfn.XLOOKUP(staff[[#This Row],[Rating]],'Lookup Array'!$A$1:$A$5, 'Lookup Array'!$B$1:$B$5, "No Rating")</f>
        <v>3</v>
      </c>
    </row>
    <row r="165" spans="2:13" x14ac:dyDescent="0.25">
      <c r="B165" t="s">
        <v>58</v>
      </c>
      <c r="C165" t="s">
        <v>15</v>
      </c>
      <c r="D165">
        <v>22</v>
      </c>
      <c r="E165" t="s">
        <v>13</v>
      </c>
      <c r="F165" s="5">
        <v>44446</v>
      </c>
      <c r="G165" t="s">
        <v>19</v>
      </c>
      <c r="H165">
        <v>112780</v>
      </c>
      <c r="I165" t="s">
        <v>204</v>
      </c>
      <c r="J165" s="7">
        <f ca="1">(TODAY() - staff[[#This Row],[Date Joined]]) / 365</f>
        <v>4.2575342465753421</v>
      </c>
      <c r="K165" s="19">
        <f ca="1">ROUNDUP(IF(staff[[#This Row],[Tenure]]&gt;2, 3%, 2%) * staff[[#This Row],[Salary]],0)</f>
        <v>3384</v>
      </c>
      <c r="L165" cm="1">
        <f t="array" ref="L165">_xlfn.IFS(staff[[#This Row],[Rating]]="Exceptional", 5, staff[[#This Row],[Rating]]="Above average", 4, staff[[#This Row],[Rating]]="Average", 3, staff[[#This Row],[Rating]]="Poor", 2, staff[[#This Row],[Rating]]="Very poor", 1)</f>
        <v>4</v>
      </c>
      <c r="M165">
        <f>_xlfn.XLOOKUP(staff[[#This Row],[Rating]],'Lookup Array'!$A$1:$A$5, 'Lookup Array'!$B$1:$B$5, "No Rating")</f>
        <v>4</v>
      </c>
    </row>
    <row r="166" spans="2:13" x14ac:dyDescent="0.25">
      <c r="B166" t="s">
        <v>150</v>
      </c>
      <c r="C166" t="s">
        <v>15</v>
      </c>
      <c r="D166">
        <v>22</v>
      </c>
      <c r="E166" t="s">
        <v>13</v>
      </c>
      <c r="F166" s="5">
        <v>44384</v>
      </c>
      <c r="G166" t="s">
        <v>19</v>
      </c>
      <c r="H166">
        <v>112780</v>
      </c>
      <c r="I166" t="s">
        <v>206</v>
      </c>
      <c r="J166" s="7">
        <f ca="1">(TODAY() - staff[[#This Row],[Date Joined]]) / 365</f>
        <v>4.4273972602739722</v>
      </c>
      <c r="K166" s="19">
        <f ca="1">ROUNDUP(IF(staff[[#This Row],[Tenure]]&gt;2, 3%, 2%) * staff[[#This Row],[Salary]],0)</f>
        <v>3384</v>
      </c>
      <c r="L166" cm="1">
        <f t="array" ref="L166">_xlfn.IFS(staff[[#This Row],[Rating]]="Exceptional", 5, staff[[#This Row],[Rating]]="Above average", 4, staff[[#This Row],[Rating]]="Average", 3, staff[[#This Row],[Rating]]="Poor", 2, staff[[#This Row],[Rating]]="Very poor", 1)</f>
        <v>4</v>
      </c>
      <c r="M166">
        <f>_xlfn.XLOOKUP(staff[[#This Row],[Rating]],'Lookup Array'!$A$1:$A$5, 'Lookup Array'!$B$1:$B$5, "No Rating")</f>
        <v>4</v>
      </c>
    </row>
    <row r="167" spans="2:13" x14ac:dyDescent="0.25">
      <c r="B167" t="s">
        <v>98</v>
      </c>
      <c r="C167" t="s">
        <v>15</v>
      </c>
      <c r="D167">
        <v>27</v>
      </c>
      <c r="E167" t="s">
        <v>42</v>
      </c>
      <c r="F167" s="5">
        <v>44609</v>
      </c>
      <c r="G167" t="s">
        <v>9</v>
      </c>
      <c r="H167">
        <v>113280</v>
      </c>
      <c r="I167" t="s">
        <v>204</v>
      </c>
      <c r="J167" s="7">
        <f ca="1">(TODAY() - staff[[#This Row],[Date Joined]]) / 365</f>
        <v>3.8109589041095893</v>
      </c>
      <c r="K167" s="19">
        <f ca="1">ROUNDUP(IF(staff[[#This Row],[Tenure]]&gt;2, 3%, 2%) * staff[[#This Row],[Salary]],0)</f>
        <v>3399</v>
      </c>
      <c r="L167" cm="1">
        <f t="array" ref="L167">_xlfn.IFS(staff[[#This Row],[Rating]]="Exceptional", 5, staff[[#This Row],[Rating]]="Above average", 4, staff[[#This Row],[Rating]]="Average", 3, staff[[#This Row],[Rating]]="Poor", 2, staff[[#This Row],[Rating]]="Very poor", 1)</f>
        <v>1</v>
      </c>
      <c r="M167">
        <f>_xlfn.XLOOKUP(staff[[#This Row],[Rating]],'Lookup Array'!$A$1:$A$5, 'Lookup Array'!$B$1:$B$5, "No Rating")</f>
        <v>1</v>
      </c>
    </row>
    <row r="168" spans="2:13" x14ac:dyDescent="0.25">
      <c r="B168" t="s">
        <v>191</v>
      </c>
      <c r="C168" t="s">
        <v>15</v>
      </c>
      <c r="D168">
        <v>27</v>
      </c>
      <c r="E168" t="s">
        <v>42</v>
      </c>
      <c r="F168" s="5">
        <v>44547</v>
      </c>
      <c r="G168" t="s">
        <v>9</v>
      </c>
      <c r="H168">
        <v>113280</v>
      </c>
      <c r="I168" t="s">
        <v>206</v>
      </c>
      <c r="J168" s="7">
        <f ca="1">(TODAY() - staff[[#This Row],[Date Joined]]) / 365</f>
        <v>3.9808219178082194</v>
      </c>
      <c r="K168" s="19">
        <f ca="1">ROUNDUP(IF(staff[[#This Row],[Tenure]]&gt;2, 3%, 2%) * staff[[#This Row],[Salary]],0)</f>
        <v>3399</v>
      </c>
      <c r="L168" cm="1">
        <f t="array" ref="L168">_xlfn.IFS(staff[[#This Row],[Rating]]="Exceptional", 5, staff[[#This Row],[Rating]]="Above average", 4, staff[[#This Row],[Rating]]="Average", 3, staff[[#This Row],[Rating]]="Poor", 2, staff[[#This Row],[Rating]]="Very poor", 1)</f>
        <v>1</v>
      </c>
      <c r="M168">
        <f>_xlfn.XLOOKUP(staff[[#This Row],[Rating]],'Lookup Array'!$A$1:$A$5, 'Lookup Array'!$B$1:$B$5, "No Rating")</f>
        <v>1</v>
      </c>
    </row>
    <row r="169" spans="2:13" x14ac:dyDescent="0.25">
      <c r="B169" t="s">
        <v>54</v>
      </c>
      <c r="C169" t="s">
        <v>8</v>
      </c>
      <c r="D169">
        <v>30</v>
      </c>
      <c r="E169" t="s">
        <v>16</v>
      </c>
      <c r="F169" s="5">
        <v>44850</v>
      </c>
      <c r="G169" t="s">
        <v>9</v>
      </c>
      <c r="H169">
        <v>114180</v>
      </c>
      <c r="I169" t="s">
        <v>204</v>
      </c>
      <c r="J169" s="7">
        <f ca="1">(TODAY() - staff[[#This Row],[Date Joined]]) / 365</f>
        <v>3.1506849315068495</v>
      </c>
      <c r="K169" s="19">
        <f ca="1">ROUNDUP(IF(staff[[#This Row],[Tenure]]&gt;2, 3%, 2%) * staff[[#This Row],[Salary]],0)</f>
        <v>3426</v>
      </c>
      <c r="L169" cm="1">
        <f t="array" ref="L169">_xlfn.IFS(staff[[#This Row],[Rating]]="Exceptional", 5, staff[[#This Row],[Rating]]="Above average", 4, staff[[#This Row],[Rating]]="Average", 3, staff[[#This Row],[Rating]]="Poor", 2, staff[[#This Row],[Rating]]="Very poor", 1)</f>
        <v>3</v>
      </c>
      <c r="M169">
        <f>_xlfn.XLOOKUP(staff[[#This Row],[Rating]],'Lookup Array'!$A$1:$A$5, 'Lookup Array'!$B$1:$B$5, "No Rating")</f>
        <v>3</v>
      </c>
    </row>
    <row r="170" spans="2:13" x14ac:dyDescent="0.25">
      <c r="B170" t="s">
        <v>147</v>
      </c>
      <c r="C170" t="s">
        <v>8</v>
      </c>
      <c r="D170">
        <v>30</v>
      </c>
      <c r="E170" t="s">
        <v>16</v>
      </c>
      <c r="F170" s="5">
        <v>44789</v>
      </c>
      <c r="G170" t="s">
        <v>9</v>
      </c>
      <c r="H170">
        <v>114180</v>
      </c>
      <c r="I170" t="s">
        <v>206</v>
      </c>
      <c r="J170" s="7">
        <f ca="1">(TODAY() - staff[[#This Row],[Date Joined]]) / 365</f>
        <v>3.3178082191780822</v>
      </c>
      <c r="K170" s="19">
        <f ca="1">ROUNDUP(IF(staff[[#This Row],[Tenure]]&gt;2, 3%, 2%) * staff[[#This Row],[Salary]],0)</f>
        <v>3426</v>
      </c>
      <c r="L170" cm="1">
        <f t="array" ref="L170">_xlfn.IFS(staff[[#This Row],[Rating]]="Exceptional", 5, staff[[#This Row],[Rating]]="Above average", 4, staff[[#This Row],[Rating]]="Average", 3, staff[[#This Row],[Rating]]="Poor", 2, staff[[#This Row],[Rating]]="Very poor", 1)</f>
        <v>3</v>
      </c>
      <c r="M170">
        <f>_xlfn.XLOOKUP(staff[[#This Row],[Rating]],'Lookup Array'!$A$1:$A$5, 'Lookup Array'!$B$1:$B$5, "No Rating")</f>
        <v>3</v>
      </c>
    </row>
    <row r="171" spans="2:13" x14ac:dyDescent="0.25">
      <c r="B171" t="s">
        <v>17</v>
      </c>
      <c r="C171" t="s">
        <v>8</v>
      </c>
      <c r="D171">
        <v>43</v>
      </c>
      <c r="E171" t="s">
        <v>16</v>
      </c>
      <c r="F171" s="5">
        <v>45045</v>
      </c>
      <c r="G171" t="s">
        <v>12</v>
      </c>
      <c r="H171">
        <v>114870</v>
      </c>
      <c r="I171" t="s">
        <v>204</v>
      </c>
      <c r="J171" s="7">
        <f ca="1">(TODAY() - staff[[#This Row],[Date Joined]]) / 365</f>
        <v>2.6164383561643834</v>
      </c>
      <c r="K171" s="19">
        <f ca="1">ROUNDUP(IF(staff[[#This Row],[Tenure]]&gt;2, 3%, 2%) * staff[[#This Row],[Salary]],0)</f>
        <v>3447</v>
      </c>
      <c r="L171" cm="1">
        <f t="array" ref="L171">_xlfn.IFS(staff[[#This Row],[Rating]]="Exceptional", 5, staff[[#This Row],[Rating]]="Above average", 4, staff[[#This Row],[Rating]]="Average", 3, staff[[#This Row],[Rating]]="Poor", 2, staff[[#This Row],[Rating]]="Very poor", 1)</f>
        <v>3</v>
      </c>
      <c r="M171">
        <f>_xlfn.XLOOKUP(staff[[#This Row],[Rating]],'Lookup Array'!$A$1:$A$5, 'Lookup Array'!$B$1:$B$5, "No Rating")</f>
        <v>3</v>
      </c>
    </row>
    <row r="172" spans="2:13" x14ac:dyDescent="0.25">
      <c r="B172" t="s">
        <v>114</v>
      </c>
      <c r="C172" t="s">
        <v>8</v>
      </c>
      <c r="D172">
        <v>44</v>
      </c>
      <c r="E172" t="s">
        <v>16</v>
      </c>
      <c r="F172" s="5">
        <v>44985</v>
      </c>
      <c r="G172" t="s">
        <v>12</v>
      </c>
      <c r="H172">
        <v>114870</v>
      </c>
      <c r="I172" t="s">
        <v>206</v>
      </c>
      <c r="J172" s="7">
        <f ca="1">(TODAY() - staff[[#This Row],[Date Joined]]) / 365</f>
        <v>2.7808219178082192</v>
      </c>
      <c r="K172" s="19">
        <f ca="1">ROUNDUP(IF(staff[[#This Row],[Tenure]]&gt;2, 3%, 2%) * staff[[#This Row],[Salary]],0)</f>
        <v>3447</v>
      </c>
      <c r="L172" cm="1">
        <f t="array" ref="L172">_xlfn.IFS(staff[[#This Row],[Rating]]="Exceptional", 5, staff[[#This Row],[Rating]]="Above average", 4, staff[[#This Row],[Rating]]="Average", 3, staff[[#This Row],[Rating]]="Poor", 2, staff[[#This Row],[Rating]]="Very poor", 1)</f>
        <v>3</v>
      </c>
      <c r="M172">
        <f>_xlfn.XLOOKUP(staff[[#This Row],[Rating]],'Lookup Array'!$A$1:$A$5, 'Lookup Array'!$B$1:$B$5, "No Rating")</f>
        <v>3</v>
      </c>
    </row>
    <row r="173" spans="2:13" x14ac:dyDescent="0.25">
      <c r="B173" t="s">
        <v>83</v>
      </c>
      <c r="C173" t="s">
        <v>8</v>
      </c>
      <c r="D173">
        <v>36</v>
      </c>
      <c r="E173" t="s">
        <v>16</v>
      </c>
      <c r="F173" s="5">
        <v>44085</v>
      </c>
      <c r="G173" t="s">
        <v>9</v>
      </c>
      <c r="H173">
        <v>114890</v>
      </c>
      <c r="I173" t="s">
        <v>204</v>
      </c>
      <c r="J173" s="7">
        <f ca="1">(TODAY() - staff[[#This Row],[Date Joined]]) / 365</f>
        <v>5.2465753424657535</v>
      </c>
      <c r="K173" s="19">
        <f ca="1">ROUNDUP(IF(staff[[#This Row],[Tenure]]&gt;2, 3%, 2%) * staff[[#This Row],[Salary]],0)</f>
        <v>3447</v>
      </c>
      <c r="L173" cm="1">
        <f t="array" ref="L173">_xlfn.IFS(staff[[#This Row],[Rating]]="Exceptional", 5, staff[[#This Row],[Rating]]="Above average", 4, staff[[#This Row],[Rating]]="Average", 3, staff[[#This Row],[Rating]]="Poor", 2, staff[[#This Row],[Rating]]="Very poor", 1)</f>
        <v>3</v>
      </c>
      <c r="M173">
        <f>_xlfn.XLOOKUP(staff[[#This Row],[Rating]],'Lookup Array'!$A$1:$A$5, 'Lookup Array'!$B$1:$B$5, "No Rating")</f>
        <v>3</v>
      </c>
    </row>
    <row r="174" spans="2:13" x14ac:dyDescent="0.25">
      <c r="B174" t="s">
        <v>175</v>
      </c>
      <c r="C174" t="s">
        <v>8</v>
      </c>
      <c r="D174">
        <v>36</v>
      </c>
      <c r="E174" t="s">
        <v>16</v>
      </c>
      <c r="F174" s="5">
        <v>44023</v>
      </c>
      <c r="G174" t="s">
        <v>9</v>
      </c>
      <c r="H174">
        <v>114890</v>
      </c>
      <c r="I174" t="s">
        <v>206</v>
      </c>
      <c r="J174" s="7">
        <f ca="1">(TODAY() - staff[[#This Row],[Date Joined]]) / 365</f>
        <v>5.4164383561643836</v>
      </c>
      <c r="K174" s="19">
        <f ca="1">ROUNDUP(IF(staff[[#This Row],[Tenure]]&gt;2, 3%, 2%) * staff[[#This Row],[Salary]],0)</f>
        <v>3447</v>
      </c>
      <c r="L174" cm="1">
        <f t="array" ref="L174">_xlfn.IFS(staff[[#This Row],[Rating]]="Exceptional", 5, staff[[#This Row],[Rating]]="Above average", 4, staff[[#This Row],[Rating]]="Average", 3, staff[[#This Row],[Rating]]="Poor", 2, staff[[#This Row],[Rating]]="Very poor", 1)</f>
        <v>3</v>
      </c>
      <c r="M174">
        <f>_xlfn.XLOOKUP(staff[[#This Row],[Rating]],'Lookup Array'!$A$1:$A$5, 'Lookup Array'!$B$1:$B$5, "No Rating")</f>
        <v>3</v>
      </c>
    </row>
    <row r="175" spans="2:13" x14ac:dyDescent="0.25">
      <c r="B175" t="s">
        <v>49</v>
      </c>
      <c r="C175" t="s">
        <v>205</v>
      </c>
      <c r="D175">
        <v>37</v>
      </c>
      <c r="E175" t="s">
        <v>24</v>
      </c>
      <c r="F175" s="5">
        <v>44146</v>
      </c>
      <c r="G175" t="s">
        <v>21</v>
      </c>
      <c r="H175">
        <v>115440</v>
      </c>
      <c r="I175" t="s">
        <v>204</v>
      </c>
      <c r="J175" s="7">
        <f ca="1">(TODAY() - staff[[#This Row],[Date Joined]]) / 365</f>
        <v>5.0794520547945208</v>
      </c>
      <c r="K175" s="19">
        <f ca="1">ROUNDUP(IF(staff[[#This Row],[Tenure]]&gt;2, 3%, 2%) * staff[[#This Row],[Salary]],0)</f>
        <v>3464</v>
      </c>
      <c r="L175" cm="1">
        <f t="array" ref="L175">_xlfn.IFS(staff[[#This Row],[Rating]]="Exceptional", 5, staff[[#This Row],[Rating]]="Above average", 4, staff[[#This Row],[Rating]]="Average", 3, staff[[#This Row],[Rating]]="Poor", 2, staff[[#This Row],[Rating]]="Very poor", 1)</f>
        <v>2</v>
      </c>
      <c r="M175">
        <f>_xlfn.XLOOKUP(staff[[#This Row],[Rating]],'Lookup Array'!$A$1:$A$5, 'Lookup Array'!$B$1:$B$5, "No Rating")</f>
        <v>2</v>
      </c>
    </row>
    <row r="176" spans="2:13" x14ac:dyDescent="0.25">
      <c r="B176" t="s">
        <v>142</v>
      </c>
      <c r="C176" t="s">
        <v>205</v>
      </c>
      <c r="D176">
        <v>37</v>
      </c>
      <c r="E176" t="s">
        <v>24</v>
      </c>
      <c r="F176" s="5">
        <v>44085</v>
      </c>
      <c r="G176" t="s">
        <v>21</v>
      </c>
      <c r="H176">
        <v>115440</v>
      </c>
      <c r="I176" t="s">
        <v>206</v>
      </c>
      <c r="J176" s="7">
        <f ca="1">(TODAY() - staff[[#This Row],[Date Joined]]) / 365</f>
        <v>5.2465753424657535</v>
      </c>
      <c r="K176" s="19">
        <f ca="1">ROUNDUP(IF(staff[[#This Row],[Tenure]]&gt;2, 3%, 2%) * staff[[#This Row],[Salary]],0)</f>
        <v>3464</v>
      </c>
      <c r="L176" cm="1">
        <f t="array" ref="L176">_xlfn.IFS(staff[[#This Row],[Rating]]="Exceptional", 5, staff[[#This Row],[Rating]]="Above average", 4, staff[[#This Row],[Rating]]="Average", 3, staff[[#This Row],[Rating]]="Poor", 2, staff[[#This Row],[Rating]]="Very poor", 1)</f>
        <v>2</v>
      </c>
      <c r="M176">
        <f>_xlfn.XLOOKUP(staff[[#This Row],[Rating]],'Lookup Array'!$A$1:$A$5, 'Lookup Array'!$B$1:$B$5, "No Rating")</f>
        <v>2</v>
      </c>
    </row>
    <row r="177" spans="2:13" x14ac:dyDescent="0.25">
      <c r="B177" t="s">
        <v>40</v>
      </c>
      <c r="C177" t="s">
        <v>15</v>
      </c>
      <c r="D177">
        <v>33</v>
      </c>
      <c r="E177" t="s">
        <v>16</v>
      </c>
      <c r="F177" s="5">
        <v>44164</v>
      </c>
      <c r="G177" t="s">
        <v>9</v>
      </c>
      <c r="H177">
        <v>115920</v>
      </c>
      <c r="I177" t="s">
        <v>204</v>
      </c>
      <c r="J177" s="7">
        <f ca="1">(TODAY() - staff[[#This Row],[Date Joined]]) / 365</f>
        <v>5.0301369863013701</v>
      </c>
      <c r="K177" s="19">
        <f ca="1">ROUNDUP(IF(staff[[#This Row],[Tenure]]&gt;2, 3%, 2%) * staff[[#This Row],[Salary]],0)</f>
        <v>3478</v>
      </c>
      <c r="L177" cm="1">
        <f t="array" ref="L177">_xlfn.IFS(staff[[#This Row],[Rating]]="Exceptional", 5, staff[[#This Row],[Rating]]="Above average", 4, staff[[#This Row],[Rating]]="Average", 3, staff[[#This Row],[Rating]]="Poor", 2, staff[[#This Row],[Rating]]="Very poor", 1)</f>
        <v>3</v>
      </c>
      <c r="M177">
        <f>_xlfn.XLOOKUP(staff[[#This Row],[Rating]],'Lookup Array'!$A$1:$A$5, 'Lookup Array'!$B$1:$B$5, "No Rating")</f>
        <v>3</v>
      </c>
    </row>
    <row r="178" spans="2:13" x14ac:dyDescent="0.25">
      <c r="B178" t="s">
        <v>134</v>
      </c>
      <c r="C178" t="s">
        <v>15</v>
      </c>
      <c r="D178">
        <v>33</v>
      </c>
      <c r="E178" t="s">
        <v>16</v>
      </c>
      <c r="F178" s="5">
        <v>44103</v>
      </c>
      <c r="G178" t="s">
        <v>9</v>
      </c>
      <c r="H178">
        <v>115920</v>
      </c>
      <c r="I178" t="s">
        <v>206</v>
      </c>
      <c r="J178" s="7">
        <f ca="1">(TODAY() - staff[[#This Row],[Date Joined]]) / 365</f>
        <v>5.1972602739726028</v>
      </c>
      <c r="K178" s="19">
        <f ca="1">ROUNDUP(IF(staff[[#This Row],[Tenure]]&gt;2, 3%, 2%) * staff[[#This Row],[Salary]],0)</f>
        <v>3478</v>
      </c>
      <c r="L178" cm="1">
        <f t="array" ref="L178">_xlfn.IFS(staff[[#This Row],[Rating]]="Exceptional", 5, staff[[#This Row],[Rating]]="Above average", 4, staff[[#This Row],[Rating]]="Average", 3, staff[[#This Row],[Rating]]="Poor", 2, staff[[#This Row],[Rating]]="Very poor", 1)</f>
        <v>3</v>
      </c>
      <c r="M178">
        <f>_xlfn.XLOOKUP(staff[[#This Row],[Rating]],'Lookup Array'!$A$1:$A$5, 'Lookup Array'!$B$1:$B$5, "No Rating")</f>
        <v>3</v>
      </c>
    </row>
    <row r="179" spans="2:13" x14ac:dyDescent="0.25">
      <c r="B179" t="s">
        <v>55</v>
      </c>
      <c r="C179" t="s">
        <v>8</v>
      </c>
      <c r="D179">
        <v>37</v>
      </c>
      <c r="E179" t="s">
        <v>16</v>
      </c>
      <c r="F179" s="5">
        <v>44451</v>
      </c>
      <c r="G179" t="s">
        <v>56</v>
      </c>
      <c r="H179">
        <v>118100</v>
      </c>
      <c r="I179" t="s">
        <v>204</v>
      </c>
      <c r="J179" s="7">
        <f ca="1">(TODAY() - staff[[#This Row],[Date Joined]]) / 365</f>
        <v>4.2438356164383562</v>
      </c>
      <c r="K179" s="19">
        <f ca="1">ROUNDUP(IF(staff[[#This Row],[Tenure]]&gt;2, 3%, 2%) * staff[[#This Row],[Salary]],0)</f>
        <v>3543</v>
      </c>
      <c r="L179" cm="1">
        <f t="array" ref="L179">_xlfn.IFS(staff[[#This Row],[Rating]]="Exceptional", 5, staff[[#This Row],[Rating]]="Above average", 4, staff[[#This Row],[Rating]]="Average", 3, staff[[#This Row],[Rating]]="Poor", 2, staff[[#This Row],[Rating]]="Very poor", 1)</f>
        <v>3</v>
      </c>
      <c r="M179">
        <f>_xlfn.XLOOKUP(staff[[#This Row],[Rating]],'Lookup Array'!$A$1:$A$5, 'Lookup Array'!$B$1:$B$5, "No Rating")</f>
        <v>3</v>
      </c>
    </row>
    <row r="180" spans="2:13" x14ac:dyDescent="0.25">
      <c r="B180" t="s">
        <v>148</v>
      </c>
      <c r="C180" t="s">
        <v>8</v>
      </c>
      <c r="D180">
        <v>37</v>
      </c>
      <c r="E180" t="s">
        <v>16</v>
      </c>
      <c r="F180" s="5">
        <v>44389</v>
      </c>
      <c r="G180" t="s">
        <v>56</v>
      </c>
      <c r="H180">
        <v>118100</v>
      </c>
      <c r="I180" t="s">
        <v>206</v>
      </c>
      <c r="J180" s="7">
        <f ca="1">(TODAY() - staff[[#This Row],[Date Joined]]) / 365</f>
        <v>4.4136986301369863</v>
      </c>
      <c r="K180" s="19">
        <f ca="1">ROUNDUP(IF(staff[[#This Row],[Tenure]]&gt;2, 3%, 2%) * staff[[#This Row],[Salary]],0)</f>
        <v>3543</v>
      </c>
      <c r="L180" cm="1">
        <f t="array" ref="L180">_xlfn.IFS(staff[[#This Row],[Rating]]="Exceptional", 5, staff[[#This Row],[Rating]]="Above average", 4, staff[[#This Row],[Rating]]="Average", 3, staff[[#This Row],[Rating]]="Poor", 2, staff[[#This Row],[Rating]]="Very poor", 1)</f>
        <v>3</v>
      </c>
      <c r="M180">
        <f>_xlfn.XLOOKUP(staff[[#This Row],[Rating]],'Lookup Array'!$A$1:$A$5, 'Lookup Array'!$B$1:$B$5, "No Rating")</f>
        <v>3</v>
      </c>
    </row>
    <row r="181" spans="2:13" x14ac:dyDescent="0.25">
      <c r="B181" t="s">
        <v>106</v>
      </c>
      <c r="C181" t="s">
        <v>15</v>
      </c>
      <c r="D181">
        <v>36</v>
      </c>
      <c r="E181" t="s">
        <v>16</v>
      </c>
      <c r="F181" s="5">
        <v>44019</v>
      </c>
      <c r="G181" t="s">
        <v>12</v>
      </c>
      <c r="H181">
        <v>118840</v>
      </c>
      <c r="I181" t="s">
        <v>204</v>
      </c>
      <c r="J181" s="7">
        <f ca="1">(TODAY() - staff[[#This Row],[Date Joined]]) / 365</f>
        <v>5.4273972602739722</v>
      </c>
      <c r="K181" s="19">
        <f ca="1">ROUNDUP(IF(staff[[#This Row],[Tenure]]&gt;2, 3%, 2%) * staff[[#This Row],[Salary]],0)</f>
        <v>3566</v>
      </c>
      <c r="L181" cm="1">
        <f t="array" ref="L181">_xlfn.IFS(staff[[#This Row],[Rating]]="Exceptional", 5, staff[[#This Row],[Rating]]="Above average", 4, staff[[#This Row],[Rating]]="Average", 3, staff[[#This Row],[Rating]]="Poor", 2, staff[[#This Row],[Rating]]="Very poor", 1)</f>
        <v>3</v>
      </c>
      <c r="M181">
        <f>_xlfn.XLOOKUP(staff[[#This Row],[Rating]],'Lookup Array'!$A$1:$A$5, 'Lookup Array'!$B$1:$B$5, "No Rating")</f>
        <v>3</v>
      </c>
    </row>
    <row r="182" spans="2:13" x14ac:dyDescent="0.25">
      <c r="B182" t="s">
        <v>199</v>
      </c>
      <c r="C182" t="s">
        <v>15</v>
      </c>
      <c r="D182">
        <v>36</v>
      </c>
      <c r="E182" t="s">
        <v>16</v>
      </c>
      <c r="F182" s="5">
        <v>43958</v>
      </c>
      <c r="G182" t="s">
        <v>12</v>
      </c>
      <c r="H182">
        <v>118840</v>
      </c>
      <c r="I182" t="s">
        <v>206</v>
      </c>
      <c r="J182" s="7">
        <f ca="1">(TODAY() - staff[[#This Row],[Date Joined]]) / 365</f>
        <v>5.5945205479452058</v>
      </c>
      <c r="K182" s="19">
        <f ca="1">ROUNDUP(IF(staff[[#This Row],[Tenure]]&gt;2, 3%, 2%) * staff[[#This Row],[Salary]],0)</f>
        <v>3566</v>
      </c>
      <c r="L182" cm="1">
        <f t="array" ref="L182">_xlfn.IFS(staff[[#This Row],[Rating]]="Exceptional", 5, staff[[#This Row],[Rating]]="Above average", 4, staff[[#This Row],[Rating]]="Average", 3, staff[[#This Row],[Rating]]="Poor", 2, staff[[#This Row],[Rating]]="Very poor", 1)</f>
        <v>3</v>
      </c>
      <c r="M182">
        <f>_xlfn.XLOOKUP(staff[[#This Row],[Rating]],'Lookup Array'!$A$1:$A$5, 'Lookup Array'!$B$1:$B$5, "No Rating")</f>
        <v>3</v>
      </c>
    </row>
    <row r="183" spans="2:13" x14ac:dyDescent="0.25">
      <c r="B183" t="s">
        <v>60</v>
      </c>
      <c r="C183" t="s">
        <v>8</v>
      </c>
      <c r="D183">
        <v>27</v>
      </c>
      <c r="E183" t="s">
        <v>16</v>
      </c>
      <c r="F183" s="5">
        <v>44122</v>
      </c>
      <c r="G183" t="s">
        <v>56</v>
      </c>
      <c r="H183">
        <v>119110</v>
      </c>
      <c r="I183" t="s">
        <v>204</v>
      </c>
      <c r="J183" s="7">
        <f ca="1">(TODAY() - staff[[#This Row],[Date Joined]]) / 365</f>
        <v>5.1452054794520548</v>
      </c>
      <c r="K183" s="19">
        <f ca="1">ROUNDUP(IF(staff[[#This Row],[Tenure]]&gt;2, 3%, 2%) * staff[[#This Row],[Salary]],0)</f>
        <v>3574</v>
      </c>
      <c r="L183" cm="1">
        <f t="array" ref="L183">_xlfn.IFS(staff[[#This Row],[Rating]]="Exceptional", 5, staff[[#This Row],[Rating]]="Above average", 4, staff[[#This Row],[Rating]]="Average", 3, staff[[#This Row],[Rating]]="Poor", 2, staff[[#This Row],[Rating]]="Very poor", 1)</f>
        <v>3</v>
      </c>
      <c r="M183">
        <f>_xlfn.XLOOKUP(staff[[#This Row],[Rating]],'Lookup Array'!$A$1:$A$5, 'Lookup Array'!$B$1:$B$5, "No Rating")</f>
        <v>3</v>
      </c>
    </row>
    <row r="184" spans="2:13" x14ac:dyDescent="0.25">
      <c r="B184" t="s">
        <v>152</v>
      </c>
      <c r="C184" t="s">
        <v>8</v>
      </c>
      <c r="D184">
        <v>27</v>
      </c>
      <c r="E184" t="s">
        <v>16</v>
      </c>
      <c r="F184" s="5">
        <v>44061</v>
      </c>
      <c r="G184" t="s">
        <v>56</v>
      </c>
      <c r="H184">
        <v>119110</v>
      </c>
      <c r="I184" t="s">
        <v>206</v>
      </c>
      <c r="J184" s="7">
        <f ca="1">(TODAY() - staff[[#This Row],[Date Joined]]) / 365</f>
        <v>5.3123287671232875</v>
      </c>
      <c r="K184" s="19">
        <f ca="1">ROUNDUP(IF(staff[[#This Row],[Tenure]]&gt;2, 3%, 2%) * staff[[#This Row],[Salary]],0)</f>
        <v>3574</v>
      </c>
      <c r="L184" cm="1">
        <f t="array" ref="L184">_xlfn.IFS(staff[[#This Row],[Rating]]="Exceptional", 5, staff[[#This Row],[Rating]]="Above average", 4, staff[[#This Row],[Rating]]="Average", 3, staff[[#This Row],[Rating]]="Poor", 2, staff[[#This Row],[Rating]]="Very poor", 1)</f>
        <v>3</v>
      </c>
      <c r="M184">
        <f>_xlfn.XLOOKUP(staff[[#This Row],[Rating]],'Lookup Array'!$A$1:$A$5, 'Lookup Array'!$B$1:$B$5, "No Rating")</f>
        <v>3</v>
      </c>
    </row>
  </sheetData>
  <conditionalFormatting sqref="H1:H184">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ECE1C-3842-4842-8D2B-38F41EBCDBE5}">
  <dimension ref="A1:F5"/>
  <sheetViews>
    <sheetView workbookViewId="0">
      <selection activeCell="D1" sqref="D1:F1"/>
    </sheetView>
  </sheetViews>
  <sheetFormatPr defaultRowHeight="15" x14ac:dyDescent="0.25"/>
  <cols>
    <col min="1" max="1" width="14.28515625" bestFit="1" customWidth="1"/>
  </cols>
  <sheetData>
    <row r="1" spans="1:6" x14ac:dyDescent="0.25">
      <c r="A1" s="20" t="s">
        <v>10</v>
      </c>
      <c r="B1" s="8">
        <v>5</v>
      </c>
      <c r="D1" s="23" t="s">
        <v>242</v>
      </c>
      <c r="E1" s="23"/>
      <c r="F1" s="23"/>
    </row>
    <row r="2" spans="1:6" x14ac:dyDescent="0.25">
      <c r="A2" s="20" t="s">
        <v>13</v>
      </c>
      <c r="B2" s="8">
        <v>4</v>
      </c>
    </row>
    <row r="3" spans="1:6" x14ac:dyDescent="0.25">
      <c r="A3" s="20" t="s">
        <v>16</v>
      </c>
      <c r="B3" s="8">
        <v>3</v>
      </c>
    </row>
    <row r="4" spans="1:6" x14ac:dyDescent="0.25">
      <c r="A4" s="20" t="s">
        <v>24</v>
      </c>
      <c r="B4" s="8">
        <v>2</v>
      </c>
    </row>
    <row r="5" spans="1:6" x14ac:dyDescent="0.25">
      <c r="A5" s="20" t="s">
        <v>42</v>
      </c>
      <c r="B5" s="8">
        <v>1</v>
      </c>
    </row>
  </sheetData>
  <mergeCells count="1">
    <mergeCell ref="D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1AD50-A9D3-4E17-873A-2012B464DCCF}">
  <dimension ref="A3:C8"/>
  <sheetViews>
    <sheetView workbookViewId="0">
      <selection activeCell="E31" sqref="E31"/>
    </sheetView>
  </sheetViews>
  <sheetFormatPr defaultRowHeight="15" x14ac:dyDescent="0.25"/>
  <cols>
    <col min="1" max="1" width="14.28515625" bestFit="1" customWidth="1"/>
    <col min="2" max="2" width="14.42578125" bestFit="1" customWidth="1"/>
    <col min="3" max="3" width="14.140625" bestFit="1" customWidth="1"/>
  </cols>
  <sheetData>
    <row r="3" spans="1:3" x14ac:dyDescent="0.25">
      <c r="A3" s="16" t="s">
        <v>6</v>
      </c>
      <c r="B3" t="s">
        <v>230</v>
      </c>
      <c r="C3" s="19" t="s">
        <v>239</v>
      </c>
    </row>
    <row r="4" spans="1:3" x14ac:dyDescent="0.25">
      <c r="A4" s="17" t="s">
        <v>10</v>
      </c>
      <c r="B4">
        <v>4</v>
      </c>
      <c r="C4" s="19">
        <v>92080</v>
      </c>
    </row>
    <row r="5" spans="1:3" x14ac:dyDescent="0.25">
      <c r="A5" s="17" t="s">
        <v>13</v>
      </c>
      <c r="B5">
        <v>20</v>
      </c>
      <c r="C5" s="19">
        <v>75933</v>
      </c>
    </row>
    <row r="6" spans="1:3" x14ac:dyDescent="0.25">
      <c r="A6" s="17" t="s">
        <v>16</v>
      </c>
      <c r="B6">
        <v>137</v>
      </c>
      <c r="C6" s="19">
        <v>76798.759124087592</v>
      </c>
    </row>
    <row r="7" spans="1:3" x14ac:dyDescent="0.25">
      <c r="A7" s="17" t="s">
        <v>24</v>
      </c>
      <c r="B7">
        <v>16</v>
      </c>
      <c r="C7" s="19">
        <v>78115</v>
      </c>
    </row>
    <row r="8" spans="1:3" x14ac:dyDescent="0.25">
      <c r="A8" s="17" t="s">
        <v>42</v>
      </c>
      <c r="B8">
        <v>6</v>
      </c>
      <c r="C8" s="19">
        <v>77423.333333333328</v>
      </c>
    </row>
  </sheetData>
  <conditionalFormatting pivot="1" sqref="C4:C8">
    <cfRule type="dataBar" priority="1">
      <dataBar>
        <cfvo type="min"/>
        <cfvo type="max"/>
        <color rgb="FF008AEF"/>
      </dataBar>
      <extLst>
        <ext xmlns:x14="http://schemas.microsoft.com/office/spreadsheetml/2009/9/main" uri="{B025F937-C7B1-47D3-B67F-A62EFF666E3E}">
          <x14:id>{28B92806-AAEC-43A7-9C5D-480812CBF43C}</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28B92806-AAEC-43A7-9C5D-480812CBF43C}">
            <x14:dataBar minLength="0" maxLength="100" gradient="0">
              <x14:cfvo type="autoMin"/>
              <x14:cfvo type="autoMax"/>
              <x14:negativeFillColor rgb="FFFF0000"/>
              <x14:axisColor rgb="FF000000"/>
            </x14:dataBar>
          </x14:cfRule>
          <xm:sqref>C4:C8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3B9D1-F87F-4514-A33D-2F0150C16FB0}">
  <dimension ref="B2:D42"/>
  <sheetViews>
    <sheetView workbookViewId="0">
      <selection activeCell="B41" sqref="B41"/>
    </sheetView>
  </sheetViews>
  <sheetFormatPr defaultRowHeight="15" x14ac:dyDescent="0.25"/>
  <cols>
    <col min="2" max="2" width="35.28515625" bestFit="1" customWidth="1"/>
    <col min="3" max="4" width="14.28515625" bestFit="1" customWidth="1"/>
    <col min="9" max="9" width="30" bestFit="1" customWidth="1"/>
    <col min="10" max="10" width="7" bestFit="1" customWidth="1"/>
    <col min="11" max="11" width="14.28515625" bestFit="1" customWidth="1"/>
  </cols>
  <sheetData>
    <row r="2" spans="2:4" x14ac:dyDescent="0.25">
      <c r="B2" s="24" t="s">
        <v>226</v>
      </c>
      <c r="C2" s="24"/>
      <c r="D2" s="24"/>
    </row>
    <row r="5" spans="2:4" x14ac:dyDescent="0.25">
      <c r="B5" s="8" t="s">
        <v>227</v>
      </c>
      <c r="C5" s="8" t="s">
        <v>19</v>
      </c>
    </row>
    <row r="8" spans="2:4" x14ac:dyDescent="0.25">
      <c r="B8" s="8" t="s">
        <v>228</v>
      </c>
      <c r="C8" s="8">
        <f>COUNTIFS(staff[Department],C5)</f>
        <v>28</v>
      </c>
    </row>
    <row r="14" spans="2:4" x14ac:dyDescent="0.25">
      <c r="B14" s="8" t="s">
        <v>0</v>
      </c>
      <c r="C14" s="8" t="s">
        <v>6</v>
      </c>
      <c r="D14" s="8" t="s">
        <v>5</v>
      </c>
    </row>
    <row r="15" spans="2:4" x14ac:dyDescent="0.25">
      <c r="B15" s="8" t="str" cm="1">
        <f t="array" aca="1" ref="B15:D42" ca="1">_xlfn._xlws.SORT(_xlfn.CHOOSECOLS(_xlfn._xlws.FILTER(staff[], staff[Department]=C5),1,7,4),2,-1)</f>
        <v>Lindy Guillet</v>
      </c>
      <c r="C15" s="8">
        <f ca="1"/>
        <v>112780</v>
      </c>
      <c r="D15" s="8" t="str">
        <f ca="1"/>
        <v>Above average</v>
      </c>
    </row>
    <row r="16" spans="2:4" x14ac:dyDescent="0.25">
      <c r="B16" s="8" t="str">
        <f ca="1"/>
        <v>Krishnakanta Vellanki</v>
      </c>
      <c r="C16" s="8">
        <f ca="1"/>
        <v>112780</v>
      </c>
      <c r="D16" s="8" t="str">
        <f ca="1"/>
        <v>Above average</v>
      </c>
    </row>
    <row r="17" spans="2:4" x14ac:dyDescent="0.25">
      <c r="B17" s="8" t="str">
        <f ca="1"/>
        <v>Rafaelita Blaksland</v>
      </c>
      <c r="C17" s="8">
        <f ca="1"/>
        <v>109160</v>
      </c>
      <c r="D17" s="8" t="str">
        <f ca="1"/>
        <v>Exceptional</v>
      </c>
    </row>
    <row r="18" spans="2:4" x14ac:dyDescent="0.25">
      <c r="B18" s="8" t="str">
        <f ca="1"/>
        <v>Sawini Chandan</v>
      </c>
      <c r="C18" s="8">
        <f ca="1"/>
        <v>109160</v>
      </c>
      <c r="D18" s="8" t="str">
        <f ca="1"/>
        <v>Exceptional</v>
      </c>
    </row>
    <row r="19" spans="2:4" x14ac:dyDescent="0.25">
      <c r="B19" s="8" t="str">
        <f ca="1"/>
        <v>Hinda Label</v>
      </c>
      <c r="C19" s="8">
        <f ca="1"/>
        <v>92700</v>
      </c>
      <c r="D19" s="8" t="str">
        <f ca="1"/>
        <v>Average</v>
      </c>
    </row>
    <row r="20" spans="2:4" x14ac:dyDescent="0.25">
      <c r="B20" s="8" t="str">
        <f ca="1"/>
        <v>Purnendu Vijayarangan</v>
      </c>
      <c r="C20" s="8">
        <f ca="1"/>
        <v>92700</v>
      </c>
      <c r="D20" s="8" t="str">
        <f ca="1"/>
        <v>Average</v>
      </c>
    </row>
    <row r="21" spans="2:4" x14ac:dyDescent="0.25">
      <c r="B21" s="8" t="str">
        <f ca="1"/>
        <v>Gray Seamon</v>
      </c>
      <c r="C21" s="8">
        <f ca="1"/>
        <v>78540</v>
      </c>
      <c r="D21" s="8" t="str">
        <f ca="1"/>
        <v>Average</v>
      </c>
    </row>
    <row r="22" spans="2:4" x14ac:dyDescent="0.25">
      <c r="B22" s="8" t="str">
        <f ca="1"/>
        <v>Shulabh Qutub Sundaramoorthy</v>
      </c>
      <c r="C22" s="8">
        <f ca="1"/>
        <v>78540</v>
      </c>
      <c r="D22" s="8" t="str">
        <f ca="1"/>
        <v>Average</v>
      </c>
    </row>
    <row r="23" spans="2:4" x14ac:dyDescent="0.25">
      <c r="B23" s="8" t="str">
        <f ca="1"/>
        <v>Gigi Bohling</v>
      </c>
      <c r="C23" s="8">
        <f ca="1"/>
        <v>74550</v>
      </c>
      <c r="D23" s="8" t="str">
        <f ca="1"/>
        <v>Average</v>
      </c>
    </row>
    <row r="24" spans="2:4" x14ac:dyDescent="0.25">
      <c r="B24" s="8" t="str">
        <f ca="1"/>
        <v>Yauvani Tarpa</v>
      </c>
      <c r="C24" s="8">
        <f ca="1"/>
        <v>74550</v>
      </c>
      <c r="D24" s="8" t="str">
        <f ca="1"/>
        <v>Average</v>
      </c>
    </row>
    <row r="25" spans="2:4" x14ac:dyDescent="0.25">
      <c r="B25" s="8" t="str">
        <f ca="1"/>
        <v>Hyacinthie Braybrooke</v>
      </c>
      <c r="C25" s="8">
        <f ca="1"/>
        <v>68900</v>
      </c>
      <c r="D25" s="8" t="str">
        <f ca="1"/>
        <v>Poor</v>
      </c>
    </row>
    <row r="26" spans="2:4" x14ac:dyDescent="0.25">
      <c r="B26" s="8" t="str">
        <f ca="1"/>
        <v>Devasree Fullara Saurin</v>
      </c>
      <c r="C26" s="8">
        <f ca="1"/>
        <v>68900</v>
      </c>
      <c r="D26" s="8" t="str">
        <f ca="1"/>
        <v>Poor</v>
      </c>
    </row>
    <row r="27" spans="2:4" x14ac:dyDescent="0.25">
      <c r="B27" s="8" t="str">
        <f ca="1"/>
        <v>Kath Bletsoe</v>
      </c>
      <c r="C27" s="8">
        <f ca="1"/>
        <v>65700</v>
      </c>
      <c r="D27" s="8" t="str">
        <f ca="1"/>
        <v>Average</v>
      </c>
    </row>
    <row r="28" spans="2:4" x14ac:dyDescent="0.25">
      <c r="B28" s="8" t="str">
        <f ca="1"/>
        <v>Abhaya Priyavardhan</v>
      </c>
      <c r="C28" s="8">
        <f ca="1"/>
        <v>65700</v>
      </c>
      <c r="D28" s="8" t="str">
        <f ca="1"/>
        <v>Average</v>
      </c>
    </row>
    <row r="29" spans="2:4" x14ac:dyDescent="0.25">
      <c r="B29" s="8" t="str">
        <f ca="1"/>
        <v>Oran Buxcy</v>
      </c>
      <c r="C29" s="8">
        <f ca="1"/>
        <v>56870</v>
      </c>
      <c r="D29" s="8" t="str">
        <f ca="1"/>
        <v>Above average</v>
      </c>
    </row>
    <row r="30" spans="2:4" x14ac:dyDescent="0.25">
      <c r="B30" s="8" t="str">
        <f ca="1"/>
        <v>Mirium Seemantini Shivakumar</v>
      </c>
      <c r="C30" s="8">
        <f ca="1"/>
        <v>56870</v>
      </c>
      <c r="D30" s="8" t="str">
        <f ca="1"/>
        <v>Above average</v>
      </c>
    </row>
    <row r="31" spans="2:4" x14ac:dyDescent="0.25">
      <c r="B31" s="8" t="str">
        <f ca="1"/>
        <v>Alta Kaszper</v>
      </c>
      <c r="C31" s="8">
        <f ca="1"/>
        <v>54970</v>
      </c>
      <c r="D31" s="8" t="str">
        <f ca="1"/>
        <v>Average</v>
      </c>
    </row>
    <row r="32" spans="2:4" x14ac:dyDescent="0.25">
      <c r="B32" s="8" t="str">
        <f ca="1"/>
        <v>Sanchali Shirish</v>
      </c>
      <c r="C32" s="8">
        <f ca="1"/>
        <v>54970</v>
      </c>
      <c r="D32" s="8" t="str">
        <f ca="1"/>
        <v>Average</v>
      </c>
    </row>
    <row r="33" spans="2:4" x14ac:dyDescent="0.25">
      <c r="B33" s="8" t="str">
        <f ca="1"/>
        <v>Hoyt D'Alesco</v>
      </c>
      <c r="C33" s="8">
        <f ca="1"/>
        <v>53540</v>
      </c>
      <c r="D33" s="8" t="str">
        <f ca="1"/>
        <v>Average</v>
      </c>
    </row>
    <row r="34" spans="2:4" x14ac:dyDescent="0.25">
      <c r="B34" s="8" t="str">
        <f ca="1"/>
        <v>Geena Raghavanpillai</v>
      </c>
      <c r="C34" s="8">
        <f ca="1"/>
        <v>53540</v>
      </c>
      <c r="D34" s="8" t="str">
        <f ca="1"/>
        <v>Average</v>
      </c>
    </row>
    <row r="35" spans="2:4" x14ac:dyDescent="0.25">
      <c r="B35" s="8" t="str">
        <f ca="1"/>
        <v>Tatum Hush</v>
      </c>
      <c r="C35" s="8">
        <f ca="1"/>
        <v>53240</v>
      </c>
      <c r="D35" s="8" t="str">
        <f ca="1"/>
        <v>Average</v>
      </c>
    </row>
    <row r="36" spans="2:4" x14ac:dyDescent="0.25">
      <c r="B36" s="8" t="str">
        <f ca="1"/>
        <v>Anumati Shyamari Meherhomji</v>
      </c>
      <c r="C36" s="8">
        <f ca="1"/>
        <v>53240</v>
      </c>
      <c r="D36" s="8" t="str">
        <f ca="1"/>
        <v>Average</v>
      </c>
    </row>
    <row r="37" spans="2:4" x14ac:dyDescent="0.25">
      <c r="B37" s="8" t="str">
        <f ca="1"/>
        <v>Violante Courtonne</v>
      </c>
      <c r="C37" s="8">
        <f ca="1"/>
        <v>49630</v>
      </c>
      <c r="D37" s="8" t="str">
        <f ca="1"/>
        <v>Poor</v>
      </c>
    </row>
    <row r="38" spans="2:4" x14ac:dyDescent="0.25">
      <c r="B38" s="8" t="str">
        <f ca="1"/>
        <v>Daruka Ghazali</v>
      </c>
      <c r="C38" s="8">
        <f ca="1"/>
        <v>49630</v>
      </c>
      <c r="D38" s="8" t="str">
        <f ca="1"/>
        <v>Poor</v>
      </c>
    </row>
    <row r="39" spans="2:4" x14ac:dyDescent="0.25">
      <c r="B39" s="8" t="str">
        <f ca="1"/>
        <v>Drusy MacCombe</v>
      </c>
      <c r="C39" s="8">
        <f ca="1"/>
        <v>43510</v>
      </c>
      <c r="D39" s="8" t="str">
        <f ca="1"/>
        <v>Very poor</v>
      </c>
    </row>
    <row r="40" spans="2:4" x14ac:dyDescent="0.25">
      <c r="B40" s="8" t="str">
        <f ca="1"/>
        <v>Rupak Mehra</v>
      </c>
      <c r="C40" s="8">
        <f ca="1"/>
        <v>43510</v>
      </c>
      <c r="D40" s="8" t="str">
        <f ca="1"/>
        <v>Very poor</v>
      </c>
    </row>
    <row r="41" spans="2:4" x14ac:dyDescent="0.25">
      <c r="B41" s="8" t="str">
        <f ca="1"/>
        <v>Bili Sizey</v>
      </c>
      <c r="C41" s="8">
        <f ca="1"/>
        <v>36040</v>
      </c>
      <c r="D41" s="8" t="str">
        <f ca="1"/>
        <v>Average</v>
      </c>
    </row>
    <row r="42" spans="2:4" x14ac:dyDescent="0.25">
      <c r="B42" s="8" t="str">
        <f ca="1"/>
        <v>Waheeda Vasuman</v>
      </c>
      <c r="C42" s="8">
        <f ca="1"/>
        <v>36040</v>
      </c>
      <c r="D42" s="8" t="str">
        <f ca="1"/>
        <v>Average</v>
      </c>
    </row>
  </sheetData>
  <mergeCells count="1">
    <mergeCell ref="B2: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F129F-8411-4E20-B7C2-6E504B713998}">
  <dimension ref="B1:T62"/>
  <sheetViews>
    <sheetView topLeftCell="H4" workbookViewId="0">
      <selection activeCell="M41" sqref="M41"/>
    </sheetView>
  </sheetViews>
  <sheetFormatPr defaultRowHeight="15" x14ac:dyDescent="0.25"/>
  <cols>
    <col min="2" max="2" width="13.140625" bestFit="1" customWidth="1"/>
    <col min="3" max="3" width="14.42578125" bestFit="1" customWidth="1"/>
    <col min="4" max="4" width="15.7109375" bestFit="1" customWidth="1"/>
    <col min="5" max="5" width="15.7109375" customWidth="1"/>
    <col min="6" max="6" width="7.42578125" bestFit="1" customWidth="1"/>
    <col min="7" max="7" width="10.5703125" bestFit="1" customWidth="1"/>
    <col min="8" max="8" width="13.28515625" bestFit="1" customWidth="1"/>
    <col min="18" max="18" width="10.7109375" bestFit="1" customWidth="1"/>
    <col min="19" max="19" width="10.5703125" bestFit="1" customWidth="1"/>
    <col min="20" max="20" width="13.28515625" bestFit="1" customWidth="1"/>
  </cols>
  <sheetData>
    <row r="1" spans="2:20" x14ac:dyDescent="0.25">
      <c r="B1" s="16" t="s">
        <v>263</v>
      </c>
      <c r="C1" t="s">
        <v>262</v>
      </c>
      <c r="D1" t="s">
        <v>261</v>
      </c>
    </row>
    <row r="2" spans="2:20" x14ac:dyDescent="0.25">
      <c r="B2" s="17" t="s">
        <v>245</v>
      </c>
      <c r="C2">
        <v>37</v>
      </c>
      <c r="D2">
        <v>37</v>
      </c>
      <c r="R2" t="s">
        <v>264</v>
      </c>
      <c r="S2" t="s">
        <v>265</v>
      </c>
      <c r="T2" t="s">
        <v>266</v>
      </c>
    </row>
    <row r="3" spans="2:20" x14ac:dyDescent="0.25">
      <c r="B3" s="17" t="s">
        <v>254</v>
      </c>
      <c r="C3">
        <v>82</v>
      </c>
      <c r="D3">
        <v>119</v>
      </c>
      <c r="Q3" cm="1">
        <f t="array" ref="Q3:Q38">_xlfn.SEQUENCE(36)</f>
        <v>1</v>
      </c>
      <c r="R3" s="5" cm="1">
        <f t="array" ref="R3:R38">EDATE(DATE(2020,4,1),_xlfn.ANCHORARRAY( Q3)+0)</f>
        <v>43952</v>
      </c>
      <c r="S3">
        <f>COUNTIFS(staff[Date Joined],"&gt;="&amp;R3, staff[Date Joined],"&lt;="&amp;EOMONTH(R3,0))</f>
        <v>3</v>
      </c>
      <c r="T3">
        <f>SUM($S$3:S3)</f>
        <v>3</v>
      </c>
    </row>
    <row r="4" spans="2:20" x14ac:dyDescent="0.25">
      <c r="B4" s="17" t="s">
        <v>259</v>
      </c>
      <c r="C4">
        <v>62</v>
      </c>
      <c r="D4">
        <v>181</v>
      </c>
      <c r="Q4">
        <v>2</v>
      </c>
      <c r="R4" s="5">
        <v>43983</v>
      </c>
      <c r="S4">
        <f>COUNTIFS(staff[Date Joined],"&gt;="&amp;R4, staff[Date Joined],"&lt;="&amp;EOMONTH(R4,0))</f>
        <v>1</v>
      </c>
      <c r="T4">
        <f>SUM($S$3:S4)</f>
        <v>4</v>
      </c>
    </row>
    <row r="5" spans="2:20" x14ac:dyDescent="0.25">
      <c r="B5" s="17" t="s">
        <v>260</v>
      </c>
      <c r="C5">
        <v>2</v>
      </c>
      <c r="D5">
        <v>183</v>
      </c>
      <c r="Q5">
        <v>3</v>
      </c>
      <c r="R5" s="5">
        <v>44013</v>
      </c>
      <c r="S5">
        <f>COUNTIFS(staff[Date Joined],"&gt;="&amp;R5, staff[Date Joined],"&lt;="&amp;EOMONTH(R5,0))</f>
        <v>5</v>
      </c>
      <c r="T5">
        <f>SUM($S$3:S5)</f>
        <v>9</v>
      </c>
    </row>
    <row r="6" spans="2:20" x14ac:dyDescent="0.25">
      <c r="B6" s="17" t="s">
        <v>244</v>
      </c>
      <c r="C6">
        <v>183</v>
      </c>
      <c r="Q6">
        <v>4</v>
      </c>
      <c r="R6" s="5">
        <v>44044</v>
      </c>
      <c r="S6">
        <f>COUNTIFS(staff[Date Joined],"&gt;="&amp;R6, staff[Date Joined],"&lt;="&amp;EOMONTH(R6,0))</f>
        <v>3</v>
      </c>
      <c r="T6">
        <f>SUM($S$3:S6)</f>
        <v>12</v>
      </c>
    </row>
    <row r="7" spans="2:20" x14ac:dyDescent="0.25">
      <c r="Q7">
        <v>5</v>
      </c>
      <c r="R7" s="5">
        <v>44075</v>
      </c>
      <c r="S7">
        <f>COUNTIFS(staff[Date Joined],"&gt;="&amp;R7, staff[Date Joined],"&lt;="&amp;EOMONTH(R7,0))</f>
        <v>6</v>
      </c>
      <c r="T7">
        <f>SUM($S$3:S7)</f>
        <v>18</v>
      </c>
    </row>
    <row r="8" spans="2:20" x14ac:dyDescent="0.25">
      <c r="B8" s="16" t="s">
        <v>243</v>
      </c>
      <c r="C8" t="s">
        <v>230</v>
      </c>
      <c r="Q8">
        <v>6</v>
      </c>
      <c r="R8" s="5">
        <v>44105</v>
      </c>
      <c r="S8">
        <f>COUNTIFS(staff[Date Joined],"&gt;="&amp;R8, staff[Date Joined],"&lt;="&amp;EOMONTH(R8,0))</f>
        <v>6</v>
      </c>
      <c r="T8">
        <f>SUM($S$3:S8)</f>
        <v>24</v>
      </c>
    </row>
    <row r="9" spans="2:20" x14ac:dyDescent="0.25">
      <c r="B9" s="17" t="s">
        <v>245</v>
      </c>
      <c r="Q9">
        <v>7</v>
      </c>
      <c r="R9" s="5">
        <v>44136</v>
      </c>
      <c r="S9">
        <f>COUNTIFS(staff[Date Joined],"&gt;="&amp;R9, staff[Date Joined],"&lt;="&amp;EOMONTH(R9,0))</f>
        <v>6</v>
      </c>
      <c r="T9">
        <f>SUM($S$3:S9)</f>
        <v>30</v>
      </c>
    </row>
    <row r="10" spans="2:20" x14ac:dyDescent="0.25">
      <c r="B10" s="21" t="s">
        <v>246</v>
      </c>
      <c r="C10">
        <v>3</v>
      </c>
      <c r="Q10">
        <v>8</v>
      </c>
      <c r="R10" s="5">
        <v>44166</v>
      </c>
      <c r="S10">
        <f>COUNTIFS(staff[Date Joined],"&gt;="&amp;R10, staff[Date Joined],"&lt;="&amp;EOMONTH(R10,0))</f>
        <v>7</v>
      </c>
      <c r="T10">
        <f>SUM($S$3:S10)</f>
        <v>37</v>
      </c>
    </row>
    <row r="11" spans="2:20" x14ac:dyDescent="0.25">
      <c r="B11" s="21" t="s">
        <v>247</v>
      </c>
      <c r="C11">
        <v>4</v>
      </c>
      <c r="Q11">
        <v>9</v>
      </c>
      <c r="R11" s="5">
        <v>44197</v>
      </c>
      <c r="S11">
        <f>COUNTIFS(staff[Date Joined],"&gt;="&amp;R11, staff[Date Joined],"&lt;="&amp;EOMONTH(R11,0))</f>
        <v>6</v>
      </c>
      <c r="T11">
        <f>SUM($S$3:S11)</f>
        <v>43</v>
      </c>
    </row>
    <row r="12" spans="2:20" x14ac:dyDescent="0.25">
      <c r="B12" s="21" t="s">
        <v>248</v>
      </c>
      <c r="C12">
        <v>9</v>
      </c>
      <c r="Q12">
        <v>10</v>
      </c>
      <c r="R12" s="5">
        <v>44228</v>
      </c>
      <c r="S12">
        <f>COUNTIFS(staff[Date Joined],"&gt;="&amp;R12, staff[Date Joined],"&lt;="&amp;EOMONTH(R12,0))</f>
        <v>4</v>
      </c>
      <c r="T12">
        <f>SUM($S$3:S12)</f>
        <v>47</v>
      </c>
    </row>
    <row r="13" spans="2:20" x14ac:dyDescent="0.25">
      <c r="B13" s="21" t="s">
        <v>249</v>
      </c>
      <c r="C13">
        <v>12</v>
      </c>
      <c r="Q13">
        <v>11</v>
      </c>
      <c r="R13" s="5">
        <v>44256</v>
      </c>
      <c r="S13">
        <f>COUNTIFS(staff[Date Joined],"&gt;="&amp;R13, staff[Date Joined],"&lt;="&amp;EOMONTH(R13,0))</f>
        <v>9</v>
      </c>
      <c r="T13">
        <f>SUM($S$3:S13)</f>
        <v>56</v>
      </c>
    </row>
    <row r="14" spans="2:20" x14ac:dyDescent="0.25">
      <c r="B14" s="21" t="s">
        <v>250</v>
      </c>
      <c r="C14">
        <v>18</v>
      </c>
      <c r="Q14">
        <v>12</v>
      </c>
      <c r="R14" s="5">
        <v>44287</v>
      </c>
      <c r="S14">
        <f>COUNTIFS(staff[Date Joined],"&gt;="&amp;R14, staff[Date Joined],"&lt;="&amp;EOMONTH(R14,0))</f>
        <v>5</v>
      </c>
      <c r="T14">
        <f>SUM($S$3:S14)</f>
        <v>61</v>
      </c>
    </row>
    <row r="15" spans="2:20" x14ac:dyDescent="0.25">
      <c r="B15" s="21" t="s">
        <v>251</v>
      </c>
      <c r="C15">
        <v>24</v>
      </c>
      <c r="Q15">
        <v>13</v>
      </c>
      <c r="R15" s="5">
        <v>44317</v>
      </c>
      <c r="S15">
        <f>COUNTIFS(staff[Date Joined],"&gt;="&amp;R15, staff[Date Joined],"&lt;="&amp;EOMONTH(R15,0))</f>
        <v>10</v>
      </c>
      <c r="T15">
        <f>SUM($S$3:S15)</f>
        <v>71</v>
      </c>
    </row>
    <row r="16" spans="2:20" x14ac:dyDescent="0.25">
      <c r="B16" s="21" t="s">
        <v>252</v>
      </c>
      <c r="C16">
        <v>30</v>
      </c>
      <c r="Q16">
        <v>14</v>
      </c>
      <c r="R16" s="5">
        <v>44348</v>
      </c>
      <c r="S16">
        <f>COUNTIFS(staff[Date Joined],"&gt;="&amp;R16, staff[Date Joined],"&lt;="&amp;EOMONTH(R16,0))</f>
        <v>6</v>
      </c>
      <c r="T16">
        <f>SUM($S$3:S16)</f>
        <v>77</v>
      </c>
    </row>
    <row r="17" spans="2:20" x14ac:dyDescent="0.25">
      <c r="B17" s="21" t="s">
        <v>253</v>
      </c>
      <c r="C17">
        <v>37</v>
      </c>
      <c r="Q17">
        <v>15</v>
      </c>
      <c r="R17" s="5">
        <v>44378</v>
      </c>
      <c r="S17">
        <f>COUNTIFS(staff[Date Joined],"&gt;="&amp;R17, staff[Date Joined],"&lt;="&amp;EOMONTH(R17,0))</f>
        <v>13</v>
      </c>
      <c r="T17">
        <f>SUM($S$3:S17)</f>
        <v>90</v>
      </c>
    </row>
    <row r="18" spans="2:20" x14ac:dyDescent="0.25">
      <c r="B18" s="17" t="s">
        <v>254</v>
      </c>
      <c r="Q18">
        <v>16</v>
      </c>
      <c r="R18" s="5">
        <v>44409</v>
      </c>
      <c r="S18">
        <f>COUNTIFS(staff[Date Joined],"&gt;="&amp;R18, staff[Date Joined],"&lt;="&amp;EOMONTH(R18,0))</f>
        <v>4</v>
      </c>
      <c r="T18">
        <f>SUM($S$3:S18)</f>
        <v>94</v>
      </c>
    </row>
    <row r="19" spans="2:20" x14ac:dyDescent="0.25">
      <c r="B19" s="21" t="s">
        <v>255</v>
      </c>
      <c r="C19">
        <v>6</v>
      </c>
      <c r="Q19">
        <v>17</v>
      </c>
      <c r="R19" s="5">
        <v>44440</v>
      </c>
      <c r="S19">
        <f>COUNTIFS(staff[Date Joined],"&gt;="&amp;R19, staff[Date Joined],"&lt;="&amp;EOMONTH(R19,0))</f>
        <v>11</v>
      </c>
      <c r="T19">
        <f>SUM($S$3:S19)</f>
        <v>105</v>
      </c>
    </row>
    <row r="20" spans="2:20" x14ac:dyDescent="0.25">
      <c r="B20" s="21" t="s">
        <v>256</v>
      </c>
      <c r="C20">
        <v>10</v>
      </c>
      <c r="Q20">
        <v>18</v>
      </c>
      <c r="R20" s="5">
        <v>44470</v>
      </c>
      <c r="S20">
        <f>COUNTIFS(staff[Date Joined],"&gt;="&amp;R20, staff[Date Joined],"&lt;="&amp;EOMONTH(R20,0))</f>
        <v>3</v>
      </c>
      <c r="T20">
        <f>SUM($S$3:S20)</f>
        <v>108</v>
      </c>
    </row>
    <row r="21" spans="2:20" x14ac:dyDescent="0.25">
      <c r="B21" s="21" t="s">
        <v>257</v>
      </c>
      <c r="C21">
        <v>19</v>
      </c>
      <c r="Q21">
        <v>19</v>
      </c>
      <c r="R21" s="5">
        <v>44501</v>
      </c>
      <c r="S21">
        <f>COUNTIFS(staff[Date Joined],"&gt;="&amp;R21, staff[Date Joined],"&lt;="&amp;EOMONTH(R21,0))</f>
        <v>4</v>
      </c>
      <c r="T21">
        <f>SUM($S$3:S21)</f>
        <v>112</v>
      </c>
    </row>
    <row r="22" spans="2:20" x14ac:dyDescent="0.25">
      <c r="B22" s="21" t="s">
        <v>258</v>
      </c>
      <c r="C22">
        <v>24</v>
      </c>
      <c r="Q22">
        <v>20</v>
      </c>
      <c r="R22" s="5">
        <v>44531</v>
      </c>
      <c r="S22">
        <f>COUNTIFS(staff[Date Joined],"&gt;="&amp;R22, staff[Date Joined],"&lt;="&amp;EOMONTH(R22,0))</f>
        <v>7</v>
      </c>
      <c r="T22">
        <f>SUM($S$3:S22)</f>
        <v>119</v>
      </c>
    </row>
    <row r="23" spans="2:20" x14ac:dyDescent="0.25">
      <c r="B23" s="21" t="s">
        <v>246</v>
      </c>
      <c r="C23">
        <v>34</v>
      </c>
      <c r="Q23">
        <v>21</v>
      </c>
      <c r="R23" s="5">
        <v>44562</v>
      </c>
      <c r="S23">
        <f>COUNTIFS(staff[Date Joined],"&gt;="&amp;R23, staff[Date Joined],"&lt;="&amp;EOMONTH(R23,0))</f>
        <v>3</v>
      </c>
      <c r="T23">
        <f>SUM($S$3:S23)</f>
        <v>122</v>
      </c>
    </row>
    <row r="24" spans="2:20" x14ac:dyDescent="0.25">
      <c r="B24" s="21" t="s">
        <v>247</v>
      </c>
      <c r="C24">
        <v>40</v>
      </c>
      <c r="Q24">
        <v>22</v>
      </c>
      <c r="R24" s="5">
        <v>44593</v>
      </c>
      <c r="S24">
        <f>COUNTIFS(staff[Date Joined],"&gt;="&amp;R24, staff[Date Joined],"&lt;="&amp;EOMONTH(R24,0))</f>
        <v>10</v>
      </c>
      <c r="T24">
        <f>SUM($S$3:S24)</f>
        <v>132</v>
      </c>
    </row>
    <row r="25" spans="2:20" x14ac:dyDescent="0.25">
      <c r="B25" s="21" t="s">
        <v>248</v>
      </c>
      <c r="C25">
        <v>53</v>
      </c>
      <c r="Q25">
        <v>23</v>
      </c>
      <c r="R25" s="5">
        <v>44621</v>
      </c>
      <c r="S25">
        <f>COUNTIFS(staff[Date Joined],"&gt;="&amp;R25, staff[Date Joined],"&lt;="&amp;EOMONTH(R25,0))</f>
        <v>9</v>
      </c>
      <c r="T25">
        <f>SUM($S$3:S25)</f>
        <v>141</v>
      </c>
    </row>
    <row r="26" spans="2:20" x14ac:dyDescent="0.25">
      <c r="B26" s="21" t="s">
        <v>249</v>
      </c>
      <c r="C26">
        <v>57</v>
      </c>
      <c r="Q26">
        <v>24</v>
      </c>
      <c r="R26" s="5">
        <v>44652</v>
      </c>
      <c r="S26">
        <f>COUNTIFS(staff[Date Joined],"&gt;="&amp;R26, staff[Date Joined],"&lt;="&amp;EOMONTH(R26,0))</f>
        <v>9</v>
      </c>
      <c r="T26">
        <f>SUM($S$3:S26)</f>
        <v>150</v>
      </c>
    </row>
    <row r="27" spans="2:20" x14ac:dyDescent="0.25">
      <c r="B27" s="21" t="s">
        <v>250</v>
      </c>
      <c r="C27">
        <v>68</v>
      </c>
      <c r="D27" s="22"/>
      <c r="E27" s="22"/>
      <c r="F27" s="22"/>
      <c r="Q27">
        <v>25</v>
      </c>
      <c r="R27" s="5">
        <v>44682</v>
      </c>
      <c r="S27">
        <f>COUNTIFS(staff[Date Joined],"&gt;="&amp;R27, staff[Date Joined],"&lt;="&amp;EOMONTH(R27,0))</f>
        <v>9</v>
      </c>
      <c r="T27">
        <f>SUM($S$3:S27)</f>
        <v>159</v>
      </c>
    </row>
    <row r="28" spans="2:20" x14ac:dyDescent="0.25">
      <c r="B28" s="21" t="s">
        <v>251</v>
      </c>
      <c r="C28">
        <v>71</v>
      </c>
      <c r="D28" s="22"/>
      <c r="E28" s="22"/>
      <c r="F28" s="22"/>
      <c r="Q28">
        <v>26</v>
      </c>
      <c r="R28" s="5">
        <v>44713</v>
      </c>
      <c r="S28">
        <f>COUNTIFS(staff[Date Joined],"&gt;="&amp;R28, staff[Date Joined],"&lt;="&amp;EOMONTH(R28,0))</f>
        <v>7</v>
      </c>
      <c r="T28">
        <f>SUM($S$3:S28)</f>
        <v>166</v>
      </c>
    </row>
    <row r="29" spans="2:20" x14ac:dyDescent="0.25">
      <c r="B29" s="21" t="s">
        <v>252</v>
      </c>
      <c r="C29">
        <v>75</v>
      </c>
      <c r="D29" s="22"/>
      <c r="E29" s="22"/>
      <c r="F29" s="22"/>
      <c r="Q29">
        <v>27</v>
      </c>
      <c r="R29" s="5">
        <v>44743</v>
      </c>
      <c r="S29">
        <f>COUNTIFS(staff[Date Joined],"&gt;="&amp;R29, staff[Date Joined],"&lt;="&amp;EOMONTH(R29,0))</f>
        <v>5</v>
      </c>
      <c r="T29">
        <f>SUM($S$3:S29)</f>
        <v>171</v>
      </c>
    </row>
    <row r="30" spans="2:20" x14ac:dyDescent="0.25">
      <c r="B30" s="21" t="s">
        <v>253</v>
      </c>
      <c r="C30">
        <v>82</v>
      </c>
      <c r="D30" s="22"/>
      <c r="E30" s="22"/>
      <c r="F30" s="22"/>
      <c r="Q30">
        <v>28</v>
      </c>
      <c r="R30" s="5">
        <v>44774</v>
      </c>
      <c r="S30">
        <f>COUNTIFS(staff[Date Joined],"&gt;="&amp;R30, staff[Date Joined],"&lt;="&amp;EOMONTH(R30,0))</f>
        <v>5</v>
      </c>
      <c r="T30">
        <f>SUM($S$3:S30)</f>
        <v>176</v>
      </c>
    </row>
    <row r="31" spans="2:20" x14ac:dyDescent="0.25">
      <c r="B31" s="17" t="s">
        <v>259</v>
      </c>
      <c r="D31" s="22"/>
      <c r="E31" s="22"/>
      <c r="F31" s="22"/>
      <c r="Q31">
        <v>29</v>
      </c>
      <c r="R31" s="5">
        <v>44805</v>
      </c>
      <c r="S31">
        <f>COUNTIFS(staff[Date Joined],"&gt;="&amp;R31, staff[Date Joined],"&lt;="&amp;EOMONTH(R31,0))</f>
        <v>2</v>
      </c>
      <c r="T31">
        <f>SUM($S$3:S31)</f>
        <v>178</v>
      </c>
    </row>
    <row r="32" spans="2:20" x14ac:dyDescent="0.25">
      <c r="B32" s="21" t="s">
        <v>255</v>
      </c>
      <c r="C32">
        <v>3</v>
      </c>
      <c r="D32" s="22"/>
      <c r="E32" s="22"/>
      <c r="F32" s="22"/>
      <c r="Q32">
        <v>30</v>
      </c>
      <c r="R32" s="5">
        <v>44835</v>
      </c>
      <c r="S32">
        <f>COUNTIFS(staff[Date Joined],"&gt;="&amp;R32, staff[Date Joined],"&lt;="&amp;EOMONTH(R32,0))</f>
        <v>3</v>
      </c>
      <c r="T32">
        <f>SUM($S$3:S32)</f>
        <v>181</v>
      </c>
    </row>
    <row r="33" spans="2:20" x14ac:dyDescent="0.25">
      <c r="B33" s="21" t="s">
        <v>256</v>
      </c>
      <c r="C33">
        <v>13</v>
      </c>
      <c r="D33" s="22"/>
      <c r="E33" s="22"/>
      <c r="F33" s="22"/>
      <c r="Q33">
        <v>31</v>
      </c>
      <c r="R33" s="5">
        <v>44866</v>
      </c>
      <c r="S33">
        <f>COUNTIFS(staff[Date Joined],"&gt;="&amp;R33, staff[Date Joined],"&lt;="&amp;EOMONTH(R33,0))</f>
        <v>0</v>
      </c>
      <c r="T33">
        <f>SUM($S$3:S33)</f>
        <v>181</v>
      </c>
    </row>
    <row r="34" spans="2:20" x14ac:dyDescent="0.25">
      <c r="B34" s="21" t="s">
        <v>257</v>
      </c>
      <c r="C34">
        <v>22</v>
      </c>
      <c r="D34" s="22"/>
      <c r="E34" s="22"/>
      <c r="F34" s="22"/>
      <c r="Q34">
        <v>32</v>
      </c>
      <c r="R34" s="5">
        <v>44896</v>
      </c>
      <c r="S34">
        <f>COUNTIFS(staff[Date Joined],"&gt;="&amp;R34, staff[Date Joined],"&lt;="&amp;EOMONTH(R34,0))</f>
        <v>0</v>
      </c>
      <c r="T34">
        <f>SUM($S$3:S34)</f>
        <v>181</v>
      </c>
    </row>
    <row r="35" spans="2:20" x14ac:dyDescent="0.25">
      <c r="B35" s="21" t="s">
        <v>258</v>
      </c>
      <c r="C35">
        <v>31</v>
      </c>
      <c r="D35" s="22"/>
      <c r="E35" s="22"/>
      <c r="F35" s="22"/>
      <c r="Q35">
        <v>33</v>
      </c>
      <c r="R35" s="5">
        <v>44927</v>
      </c>
      <c r="S35">
        <f>COUNTIFS(staff[Date Joined],"&gt;="&amp;R35, staff[Date Joined],"&lt;="&amp;EOMONTH(R35,0))</f>
        <v>0</v>
      </c>
      <c r="T35">
        <f>SUM($S$3:S35)</f>
        <v>181</v>
      </c>
    </row>
    <row r="36" spans="2:20" x14ac:dyDescent="0.25">
      <c r="B36" s="21" t="s">
        <v>246</v>
      </c>
      <c r="C36">
        <v>40</v>
      </c>
      <c r="D36" s="22"/>
      <c r="E36" s="22"/>
      <c r="F36" s="22"/>
      <c r="Q36">
        <v>34</v>
      </c>
      <c r="R36" s="5">
        <v>44958</v>
      </c>
      <c r="S36">
        <f>COUNTIFS(staff[Date Joined],"&gt;="&amp;R36, staff[Date Joined],"&lt;="&amp;EOMONTH(R36,0))</f>
        <v>1</v>
      </c>
      <c r="T36">
        <f>SUM($S$3:S36)</f>
        <v>182</v>
      </c>
    </row>
    <row r="37" spans="2:20" x14ac:dyDescent="0.25">
      <c r="B37" s="21" t="s">
        <v>247</v>
      </c>
      <c r="C37">
        <v>47</v>
      </c>
      <c r="D37" s="22"/>
      <c r="E37" s="22"/>
      <c r="F37" s="22"/>
      <c r="Q37">
        <v>35</v>
      </c>
      <c r="R37" s="5">
        <v>44986</v>
      </c>
      <c r="S37">
        <f>COUNTIFS(staff[Date Joined],"&gt;="&amp;R37, staff[Date Joined],"&lt;="&amp;EOMONTH(R37,0))</f>
        <v>0</v>
      </c>
      <c r="T37">
        <f>SUM($S$3:S37)</f>
        <v>182</v>
      </c>
    </row>
    <row r="38" spans="2:20" x14ac:dyDescent="0.25">
      <c r="B38" s="21" t="s">
        <v>248</v>
      </c>
      <c r="C38">
        <v>52</v>
      </c>
      <c r="D38" s="22"/>
      <c r="E38" s="22"/>
      <c r="F38" s="22"/>
      <c r="Q38">
        <v>36</v>
      </c>
      <c r="R38" s="5">
        <v>45017</v>
      </c>
      <c r="S38">
        <f>COUNTIFS(staff[Date Joined],"&gt;="&amp;R38, staff[Date Joined],"&lt;="&amp;EOMONTH(R38,0))</f>
        <v>1</v>
      </c>
      <c r="T38">
        <f>SUM($S$3:S38)</f>
        <v>183</v>
      </c>
    </row>
    <row r="39" spans="2:20" x14ac:dyDescent="0.25">
      <c r="B39" s="21" t="s">
        <v>249</v>
      </c>
      <c r="C39">
        <v>57</v>
      </c>
      <c r="D39" s="22"/>
      <c r="E39" s="22"/>
      <c r="F39" s="22"/>
    </row>
    <row r="40" spans="2:20" x14ac:dyDescent="0.25">
      <c r="B40" s="21" t="s">
        <v>250</v>
      </c>
      <c r="C40">
        <v>59</v>
      </c>
      <c r="D40" s="22"/>
      <c r="E40" s="22"/>
      <c r="F40" s="22"/>
    </row>
    <row r="41" spans="2:20" x14ac:dyDescent="0.25">
      <c r="B41" s="21" t="s">
        <v>251</v>
      </c>
      <c r="C41">
        <v>62</v>
      </c>
      <c r="D41" s="22"/>
      <c r="E41" s="22"/>
      <c r="F41" s="22"/>
    </row>
    <row r="42" spans="2:20" x14ac:dyDescent="0.25">
      <c r="B42" s="17" t="s">
        <v>260</v>
      </c>
      <c r="D42" s="22"/>
      <c r="E42" s="22"/>
      <c r="F42" s="22"/>
    </row>
    <row r="43" spans="2:20" x14ac:dyDescent="0.25">
      <c r="B43" s="21" t="s">
        <v>256</v>
      </c>
      <c r="C43">
        <v>1</v>
      </c>
      <c r="D43" s="22"/>
      <c r="E43" s="22"/>
      <c r="F43" s="22"/>
    </row>
    <row r="44" spans="2:20" x14ac:dyDescent="0.25">
      <c r="B44" s="21" t="s">
        <v>258</v>
      </c>
      <c r="C44">
        <v>2</v>
      </c>
      <c r="D44" s="22"/>
      <c r="E44" s="22"/>
      <c r="F44" s="22"/>
    </row>
    <row r="45" spans="2:20" x14ac:dyDescent="0.25">
      <c r="B45" s="17" t="s">
        <v>244</v>
      </c>
      <c r="D45" s="22"/>
      <c r="E45" s="22"/>
      <c r="F45" s="22"/>
    </row>
    <row r="46" spans="2:20" x14ac:dyDescent="0.25">
      <c r="D46" s="22"/>
      <c r="E46" s="22"/>
      <c r="F46" s="22"/>
    </row>
    <row r="47" spans="2:20" x14ac:dyDescent="0.25">
      <c r="D47" s="22"/>
      <c r="E47" s="22"/>
      <c r="F47" s="22"/>
    </row>
    <row r="48" spans="2:20" x14ac:dyDescent="0.25">
      <c r="D48" s="22"/>
      <c r="E48" s="22"/>
      <c r="F48" s="22"/>
    </row>
    <row r="49" spans="4:6" x14ac:dyDescent="0.25">
      <c r="D49" s="22"/>
      <c r="E49" s="22"/>
      <c r="F49" s="22"/>
    </row>
    <row r="50" spans="4:6" x14ac:dyDescent="0.25">
      <c r="D50" s="22"/>
      <c r="E50" s="22"/>
      <c r="F50" s="22"/>
    </row>
    <row r="51" spans="4:6" x14ac:dyDescent="0.25">
      <c r="D51" s="22"/>
      <c r="E51" s="22"/>
      <c r="F51" s="22"/>
    </row>
    <row r="52" spans="4:6" x14ac:dyDescent="0.25">
      <c r="D52" s="22"/>
      <c r="E52" s="22"/>
      <c r="F52" s="22"/>
    </row>
    <row r="53" spans="4:6" x14ac:dyDescent="0.25">
      <c r="D53" s="22"/>
      <c r="E53" s="22"/>
      <c r="F53" s="22"/>
    </row>
    <row r="54" spans="4:6" x14ac:dyDescent="0.25">
      <c r="D54" s="22"/>
      <c r="E54" s="22"/>
      <c r="F54" s="22"/>
    </row>
    <row r="55" spans="4:6" x14ac:dyDescent="0.25">
      <c r="D55" s="22"/>
      <c r="E55" s="22"/>
      <c r="F55" s="22"/>
    </row>
    <row r="56" spans="4:6" x14ac:dyDescent="0.25">
      <c r="D56" s="22"/>
      <c r="E56" s="22"/>
      <c r="F56" s="22"/>
    </row>
    <row r="57" spans="4:6" x14ac:dyDescent="0.25">
      <c r="D57" s="22"/>
      <c r="E57" s="22"/>
      <c r="F57" s="22"/>
    </row>
    <row r="58" spans="4:6" x14ac:dyDescent="0.25">
      <c r="D58" s="22"/>
      <c r="E58" s="22"/>
      <c r="F58" s="22"/>
    </row>
    <row r="59" spans="4:6" x14ac:dyDescent="0.25">
      <c r="D59" s="22"/>
      <c r="E59" s="22"/>
      <c r="F59" s="22"/>
    </row>
    <row r="60" spans="4:6" x14ac:dyDescent="0.25">
      <c r="D60" s="22"/>
      <c r="E60" s="22"/>
      <c r="F60" s="22"/>
    </row>
    <row r="61" spans="4:6" x14ac:dyDescent="0.25">
      <c r="D61" s="22"/>
      <c r="E61" s="22"/>
      <c r="F61" s="22"/>
    </row>
    <row r="62" spans="4:6" x14ac:dyDescent="0.25">
      <c r="D62" s="22"/>
      <c r="E62" s="22"/>
      <c r="F62" s="22"/>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587FF-31B9-445F-9E59-FC8FA11BD44E}">
  <dimension ref="B1:D9"/>
  <sheetViews>
    <sheetView workbookViewId="0">
      <selection activeCell="Q16" sqref="Q16"/>
    </sheetView>
  </sheetViews>
  <sheetFormatPr defaultRowHeight="15" x14ac:dyDescent="0.25"/>
  <cols>
    <col min="2" max="2" width="17.5703125" bestFit="1" customWidth="1"/>
    <col min="3" max="3" width="16.28515625" bestFit="1" customWidth="1"/>
    <col min="4" max="4" width="10.140625" bestFit="1" customWidth="1"/>
    <col min="5" max="6" width="12" bestFit="1" customWidth="1"/>
    <col min="7" max="7" width="16.28515625" bestFit="1" customWidth="1"/>
    <col min="8" max="8" width="19.42578125" bestFit="1" customWidth="1"/>
    <col min="9" max="9" width="19.5703125" bestFit="1" customWidth="1"/>
    <col min="10" max="10" width="6" bestFit="1" customWidth="1"/>
    <col min="11" max="22" width="7" bestFit="1" customWidth="1"/>
    <col min="23" max="23" width="7.42578125" bestFit="1" customWidth="1"/>
    <col min="24" max="38" width="7" bestFit="1" customWidth="1"/>
    <col min="39" max="39" width="6" bestFit="1" customWidth="1"/>
    <col min="40" max="43" width="7" bestFit="1" customWidth="1"/>
    <col min="44" max="44" width="6" bestFit="1" customWidth="1"/>
    <col min="45" max="45" width="7" bestFit="1" customWidth="1"/>
    <col min="46" max="46" width="8" bestFit="1" customWidth="1"/>
    <col min="47" max="47" width="6" bestFit="1" customWidth="1"/>
    <col min="48" max="50" width="7" bestFit="1" customWidth="1"/>
    <col min="51" max="51" width="11.28515625" bestFit="1" customWidth="1"/>
  </cols>
  <sheetData>
    <row r="1" spans="2:4" x14ac:dyDescent="0.25">
      <c r="B1" t="s">
        <v>235</v>
      </c>
    </row>
    <row r="4" spans="2:4" x14ac:dyDescent="0.25">
      <c r="C4" s="16" t="s">
        <v>229</v>
      </c>
    </row>
    <row r="5" spans="2:4" x14ac:dyDescent="0.25">
      <c r="B5" s="16" t="s">
        <v>232</v>
      </c>
      <c r="C5" t="s">
        <v>8</v>
      </c>
      <c r="D5" t="s">
        <v>15</v>
      </c>
    </row>
    <row r="6" spans="2:4" x14ac:dyDescent="0.25">
      <c r="B6" s="17" t="s">
        <v>230</v>
      </c>
      <c r="C6">
        <v>86</v>
      </c>
      <c r="D6">
        <v>89</v>
      </c>
    </row>
    <row r="7" spans="2:4" x14ac:dyDescent="0.25">
      <c r="B7" s="17" t="s">
        <v>231</v>
      </c>
      <c r="C7" s="7">
        <v>31.406976744186046</v>
      </c>
      <c r="D7" s="7">
        <v>29.393258426966291</v>
      </c>
    </row>
    <row r="8" spans="2:4" x14ac:dyDescent="0.25">
      <c r="B8" s="17" t="s">
        <v>233</v>
      </c>
      <c r="C8" s="18">
        <v>78284.186046511633</v>
      </c>
      <c r="D8" s="18">
        <v>74915.168539325838</v>
      </c>
    </row>
    <row r="9" spans="2:4" x14ac:dyDescent="0.25">
      <c r="B9" s="17" t="s">
        <v>234</v>
      </c>
      <c r="C9" s="7">
        <v>4.279197196559414</v>
      </c>
      <c r="D9" s="7">
        <v>4.2700938894874563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AF676-7128-4D96-AD56-8958906A81A0}">
  <dimension ref="C2:O26"/>
  <sheetViews>
    <sheetView showGridLines="0" workbookViewId="0">
      <selection activeCell="H31" sqref="H31"/>
    </sheetView>
  </sheetViews>
  <sheetFormatPr defaultRowHeight="15" x14ac:dyDescent="0.25"/>
  <cols>
    <col min="3" max="3" width="21.42578125" customWidth="1"/>
    <col min="4" max="4" width="2.85546875" customWidth="1"/>
    <col min="5" max="5" width="21.42578125" customWidth="1"/>
    <col min="6" max="6" width="2.85546875" customWidth="1"/>
    <col min="7" max="7" width="21.42578125" customWidth="1"/>
    <col min="11" max="11" width="21.42578125" customWidth="1"/>
    <col min="12" max="12" width="2.85546875" customWidth="1"/>
    <col min="13" max="13" width="21.42578125" customWidth="1"/>
    <col min="14" max="14" width="2.85546875" customWidth="1"/>
    <col min="15" max="15" width="21.42578125" customWidth="1"/>
  </cols>
  <sheetData>
    <row r="2" spans="3:15" ht="23.25" x14ac:dyDescent="0.35">
      <c r="E2" s="42" t="s">
        <v>271</v>
      </c>
      <c r="M2" s="42" t="s">
        <v>270</v>
      </c>
    </row>
    <row r="3" spans="3:15" ht="112.5" customHeight="1" x14ac:dyDescent="0.25">
      <c r="C3" s="34">
        <f>COUNTIFS(staff[Country],"NZ")</f>
        <v>91</v>
      </c>
      <c r="E3" s="35">
        <f>COUNTIFS(staff[Country],"NZ", staff[Gender],"Female")/C3</f>
        <v>0.47252747252747251</v>
      </c>
      <c r="G3" s="37">
        <f>AVERAGEIFS(staff[Salary],staff[Country],"NZ")</f>
        <v>76978.791208791212</v>
      </c>
      <c r="K3" s="38">
        <f>COUNTIFS(staff[Country],"IND")</f>
        <v>92</v>
      </c>
      <c r="M3" s="39">
        <f>COUNTIFS(staff[Country],"IND", staff[Gender],"Female")/K3</f>
        <v>0.46739130434782611</v>
      </c>
      <c r="O3" s="40">
        <f>AVERAGEIFS(staff[Salary],staff[Country],"IND")</f>
        <v>77366.521739130432</v>
      </c>
    </row>
    <row r="4" spans="3:15" x14ac:dyDescent="0.25">
      <c r="G4" s="36"/>
    </row>
    <row r="5" spans="3:15" ht="23.25" customHeight="1" x14ac:dyDescent="0.25">
      <c r="E5" s="43" t="s">
        <v>269</v>
      </c>
      <c r="F5" s="43"/>
      <c r="G5" s="43"/>
      <c r="H5" s="43"/>
      <c r="I5" s="43"/>
      <c r="J5" s="43"/>
      <c r="K5" s="43"/>
      <c r="L5" s="43"/>
      <c r="M5" s="43"/>
    </row>
    <row r="6" spans="3:15" ht="23.25" customHeight="1" x14ac:dyDescent="0.25">
      <c r="E6" s="43"/>
      <c r="F6" s="43"/>
      <c r="G6" s="43"/>
      <c r="H6" s="43"/>
      <c r="I6" s="43"/>
      <c r="J6" s="43"/>
      <c r="K6" s="43"/>
      <c r="L6" s="43"/>
      <c r="M6" s="43"/>
    </row>
    <row r="7" spans="3:15" ht="23.25" x14ac:dyDescent="0.35">
      <c r="E7" s="42"/>
      <c r="F7" s="42"/>
      <c r="G7" s="42"/>
      <c r="H7" s="42"/>
      <c r="I7" s="42"/>
      <c r="J7" s="42"/>
      <c r="K7" s="42"/>
      <c r="L7" s="42"/>
      <c r="M7" s="42"/>
    </row>
    <row r="8" spans="3:15" x14ac:dyDescent="0.25">
      <c r="C8" s="25"/>
      <c r="D8" s="26"/>
      <c r="E8" s="26"/>
      <c r="F8" s="26"/>
      <c r="G8" s="27"/>
      <c r="K8" s="25"/>
      <c r="L8" s="26"/>
      <c r="M8" s="26"/>
      <c r="N8" s="26"/>
      <c r="O8" s="27"/>
    </row>
    <row r="9" spans="3:15" x14ac:dyDescent="0.25">
      <c r="C9" s="28"/>
      <c r="D9" s="29"/>
      <c r="E9" s="29"/>
      <c r="F9" s="29"/>
      <c r="G9" s="30"/>
      <c r="K9" s="28"/>
      <c r="L9" s="29"/>
      <c r="M9" s="29"/>
      <c r="N9" s="29"/>
      <c r="O9" s="30"/>
    </row>
    <row r="10" spans="3:15" x14ac:dyDescent="0.25">
      <c r="C10" s="28"/>
      <c r="D10" s="29"/>
      <c r="E10" s="29"/>
      <c r="F10" s="29"/>
      <c r="G10" s="30"/>
      <c r="K10" s="28"/>
      <c r="L10" s="29"/>
      <c r="M10" s="29"/>
      <c r="N10" s="29"/>
      <c r="O10" s="30"/>
    </row>
    <row r="11" spans="3:15" x14ac:dyDescent="0.25">
      <c r="C11" s="28"/>
      <c r="D11" s="29"/>
      <c r="E11" s="29"/>
      <c r="F11" s="29"/>
      <c r="G11" s="30"/>
      <c r="K11" s="28"/>
      <c r="L11" s="29"/>
      <c r="M11" s="29"/>
      <c r="N11" s="29"/>
      <c r="O11" s="30"/>
    </row>
    <row r="12" spans="3:15" x14ac:dyDescent="0.25">
      <c r="C12" s="28"/>
      <c r="D12" s="29"/>
      <c r="E12" s="29"/>
      <c r="F12" s="29"/>
      <c r="G12" s="30"/>
      <c r="K12" s="28"/>
      <c r="L12" s="29"/>
      <c r="M12" s="29"/>
      <c r="N12" s="29"/>
      <c r="O12" s="30"/>
    </row>
    <row r="13" spans="3:15" x14ac:dyDescent="0.25">
      <c r="C13" s="28"/>
      <c r="D13" s="29"/>
      <c r="E13" s="29"/>
      <c r="F13" s="29"/>
      <c r="G13" s="30"/>
      <c r="K13" s="28"/>
      <c r="L13" s="29"/>
      <c r="M13" s="29"/>
      <c r="N13" s="29"/>
      <c r="O13" s="30"/>
    </row>
    <row r="14" spans="3:15" x14ac:dyDescent="0.25">
      <c r="C14" s="28"/>
      <c r="D14" s="29"/>
      <c r="E14" s="29"/>
      <c r="F14" s="29"/>
      <c r="G14" s="30"/>
      <c r="K14" s="28"/>
      <c r="L14" s="29"/>
      <c r="M14" s="29"/>
      <c r="N14" s="29"/>
      <c r="O14" s="30"/>
    </row>
    <row r="15" spans="3:15" x14ac:dyDescent="0.25">
      <c r="C15" s="28"/>
      <c r="D15" s="29"/>
      <c r="E15" s="29"/>
      <c r="F15" s="29"/>
      <c r="G15" s="30"/>
      <c r="K15" s="28"/>
      <c r="L15" s="29"/>
      <c r="M15" s="29"/>
      <c r="N15" s="29"/>
      <c r="O15" s="30"/>
    </row>
    <row r="16" spans="3:15" x14ac:dyDescent="0.25">
      <c r="C16" s="28"/>
      <c r="D16" s="29"/>
      <c r="E16" s="29"/>
      <c r="F16" s="29"/>
      <c r="G16" s="30"/>
      <c r="K16" s="28"/>
      <c r="L16" s="29"/>
      <c r="M16" s="29"/>
      <c r="N16" s="29"/>
      <c r="O16" s="30"/>
    </row>
    <row r="17" spans="3:15" x14ac:dyDescent="0.25">
      <c r="C17" s="28"/>
      <c r="D17" s="29"/>
      <c r="E17" s="29"/>
      <c r="F17" s="29"/>
      <c r="G17" s="30"/>
      <c r="K17" s="28"/>
      <c r="L17" s="29"/>
      <c r="M17" s="29"/>
      <c r="N17" s="29"/>
      <c r="O17" s="30"/>
    </row>
    <row r="18" spans="3:15" x14ac:dyDescent="0.25">
      <c r="C18" s="28"/>
      <c r="D18" s="29"/>
      <c r="E18" s="29"/>
      <c r="F18" s="29"/>
      <c r="G18" s="30"/>
      <c r="K18" s="28"/>
      <c r="L18" s="29"/>
      <c r="M18" s="29"/>
      <c r="N18" s="29"/>
      <c r="O18" s="30"/>
    </row>
    <row r="19" spans="3:15" x14ac:dyDescent="0.25">
      <c r="C19" s="28"/>
      <c r="D19" s="29"/>
      <c r="E19" s="29"/>
      <c r="F19" s="29"/>
      <c r="G19" s="30"/>
      <c r="K19" s="28"/>
      <c r="L19" s="29"/>
      <c r="M19" s="29"/>
      <c r="N19" s="29"/>
      <c r="O19" s="30"/>
    </row>
    <row r="20" spans="3:15" x14ac:dyDescent="0.25">
      <c r="C20" s="28"/>
      <c r="D20" s="29"/>
      <c r="E20" s="29"/>
      <c r="F20" s="29"/>
      <c r="G20" s="30"/>
      <c r="K20" s="28"/>
      <c r="L20" s="29"/>
      <c r="M20" s="29"/>
      <c r="N20" s="29"/>
      <c r="O20" s="30"/>
    </row>
    <row r="21" spans="3:15" x14ac:dyDescent="0.25">
      <c r="C21" s="28"/>
      <c r="D21" s="29"/>
      <c r="E21" s="29"/>
      <c r="F21" s="29"/>
      <c r="G21" s="30"/>
      <c r="K21" s="28"/>
      <c r="L21" s="29"/>
      <c r="M21" s="29"/>
      <c r="N21" s="29"/>
      <c r="O21" s="30"/>
    </row>
    <row r="22" spans="3:15" x14ac:dyDescent="0.25">
      <c r="C22" s="31"/>
      <c r="D22" s="32"/>
      <c r="E22" s="32"/>
      <c r="F22" s="32"/>
      <c r="G22" s="33"/>
      <c r="K22" s="31"/>
      <c r="L22" s="32"/>
      <c r="M22" s="32"/>
      <c r="N22" s="32"/>
      <c r="O22" s="33"/>
    </row>
    <row r="26" spans="3:15" x14ac:dyDescent="0.25">
      <c r="D26" t="s">
        <v>267</v>
      </c>
    </row>
  </sheetData>
  <mergeCells count="1">
    <mergeCell ref="E5:M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0BB64-A15D-4901-B795-1CB6AD78FEEE}">
  <dimension ref="B4:F12"/>
  <sheetViews>
    <sheetView tabSelected="1" workbookViewId="0">
      <selection activeCell="F29" sqref="F28:F29"/>
    </sheetView>
  </sheetViews>
  <sheetFormatPr defaultRowHeight="15" x14ac:dyDescent="0.25"/>
  <cols>
    <col min="1" max="1" width="13.140625" bestFit="1" customWidth="1"/>
    <col min="2" max="2" width="14" bestFit="1" customWidth="1"/>
    <col min="3" max="3" width="10.7109375" bestFit="1" customWidth="1"/>
    <col min="5" max="5" width="14" bestFit="1" customWidth="1"/>
    <col min="6" max="6" width="10.7109375" bestFit="1" customWidth="1"/>
  </cols>
  <sheetData>
    <row r="4" spans="2:6" x14ac:dyDescent="0.25">
      <c r="B4" s="16" t="s">
        <v>203</v>
      </c>
      <c r="C4" t="s" vm="1">
        <v>206</v>
      </c>
      <c r="E4" s="16" t="s">
        <v>203</v>
      </c>
      <c r="F4" t="s" vm="2">
        <v>204</v>
      </c>
    </row>
    <row r="6" spans="2:6" x14ac:dyDescent="0.25">
      <c r="B6" s="16" t="s">
        <v>2</v>
      </c>
      <c r="C6" t="s">
        <v>268</v>
      </c>
      <c r="E6" s="16" t="s">
        <v>2</v>
      </c>
      <c r="F6" t="s">
        <v>268</v>
      </c>
    </row>
    <row r="7" spans="2:6" x14ac:dyDescent="0.25">
      <c r="B7" s="17" t="s">
        <v>9</v>
      </c>
      <c r="C7" s="41">
        <v>28</v>
      </c>
      <c r="E7" s="17" t="s">
        <v>12</v>
      </c>
      <c r="F7" s="41">
        <v>27</v>
      </c>
    </row>
    <row r="8" spans="2:6" x14ac:dyDescent="0.25">
      <c r="B8" s="17" t="s">
        <v>12</v>
      </c>
      <c r="C8" s="41">
        <v>27</v>
      </c>
      <c r="E8" s="17" t="s">
        <v>9</v>
      </c>
      <c r="F8" s="41">
        <v>27</v>
      </c>
    </row>
    <row r="9" spans="2:6" x14ac:dyDescent="0.25">
      <c r="B9" s="17" t="s">
        <v>21</v>
      </c>
      <c r="C9" s="41">
        <v>19</v>
      </c>
      <c r="E9" s="17" t="s">
        <v>21</v>
      </c>
      <c r="F9" s="41">
        <v>19</v>
      </c>
    </row>
    <row r="10" spans="2:6" x14ac:dyDescent="0.25">
      <c r="B10" s="17" t="s">
        <v>19</v>
      </c>
      <c r="C10" s="41">
        <v>14</v>
      </c>
      <c r="E10" s="17" t="s">
        <v>19</v>
      </c>
      <c r="F10" s="41">
        <v>14</v>
      </c>
    </row>
    <row r="11" spans="2:6" x14ac:dyDescent="0.25">
      <c r="B11" s="17" t="s">
        <v>56</v>
      </c>
      <c r="C11" s="41">
        <v>4</v>
      </c>
      <c r="E11" s="17" t="s">
        <v>56</v>
      </c>
      <c r="F11" s="41">
        <v>4</v>
      </c>
    </row>
    <row r="12" spans="2:6" x14ac:dyDescent="0.25">
      <c r="B12" s="17" t="s">
        <v>244</v>
      </c>
      <c r="C12" s="41">
        <v>92</v>
      </c>
      <c r="E12" s="17" t="s">
        <v>244</v>
      </c>
      <c r="F12" s="41">
        <v>91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02A5B-F701-457B-8443-B928E182E826}">
  <dimension ref="A1"/>
  <sheetViews>
    <sheetView topLeftCell="B1" zoomScaleNormal="100" workbookViewId="0">
      <selection activeCell="S18" sqref="S18"/>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CCF46A-3ED5-4794-B8C2-964885DC2E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India Staff</vt:lpstr>
      <vt:lpstr>All Staff</vt:lpstr>
      <vt:lpstr>Lookup Array</vt:lpstr>
      <vt:lpstr>Rating and Salary Relationship</vt:lpstr>
      <vt:lpstr>Information Finder v2</vt:lpstr>
      <vt:lpstr>Employee counts</vt:lpstr>
      <vt:lpstr>Male vs Female comparison</vt:lpstr>
      <vt:lpstr>India vs NZ</vt:lpstr>
      <vt:lpstr>IND vs NZ pivots</vt:lpstr>
      <vt:lpstr>Salary Spread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Samuel Thickpenny Ryan</cp:lastModifiedBy>
  <dcterms:created xsi:type="dcterms:W3CDTF">2021-03-14T20:21:32Z</dcterms:created>
  <dcterms:modified xsi:type="dcterms:W3CDTF">2025-12-09T23:02:57Z</dcterms:modified>
</cp:coreProperties>
</file>